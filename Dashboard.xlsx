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hubh\OneDrive\Desktop\2026\Excel\Excel P1\P3-\"/>
    </mc:Choice>
  </mc:AlternateContent>
  <xr:revisionPtr revIDLastSave="0" documentId="13_ncr:1_{F8F24D5B-BDEA-4F0B-BB81-D3B23E0BB60B}" xr6:coauthVersionLast="47" xr6:coauthVersionMax="47" xr10:uidLastSave="{00000000-0000-0000-0000-000000000000}"/>
  <bookViews>
    <workbookView xWindow="-108" yWindow="-108" windowWidth="23256" windowHeight="12456" xr2:uid="{F454DD0C-B1EB-48B3-A2CB-74F32C670A8B}"/>
  </bookViews>
  <sheets>
    <sheet name="Dashboard" sheetId="2" r:id="rId1"/>
    <sheet name="KPI" sheetId="1" r:id="rId2"/>
    <sheet name="Satisfaction Score Daily trend" sheetId="6" r:id="rId3"/>
    <sheet name="Wait Time (Daily Variation)" sheetId="5" r:id="rId4"/>
    <sheet name="No. of Patient (Daily)" sheetId="4" r:id="rId5"/>
  </sheets>
  <definedNames>
    <definedName name="Slicer_Column1__Month">#N/A</definedName>
    <definedName name="Slicer_Column1__Year">#N/A</definedName>
  </definedNames>
  <calcPr calcId="191029"/>
  <pivotCaches>
    <pivotCache cacheId="1375" r:id="rId6"/>
    <pivotCache cacheId="1378" r:id="rId7"/>
    <pivotCache cacheId="1381" r:id="rId8"/>
    <pivotCache cacheId="1384" r:id="rId9"/>
    <pivotCache cacheId="1387" r:id="rId10"/>
    <pivotCache cacheId="1390" r:id="rId11"/>
    <pivotCache cacheId="1393" r:id="rId12"/>
    <pivotCache cacheId="1396" r:id="rId13"/>
    <pivotCache cacheId="1399" r:id="rId14"/>
    <pivotCache cacheId="1402" r:id="rId15"/>
    <pivotCache cacheId="1405" r:id="rId16"/>
    <pivotCache cacheId="1408" r:id="rId17"/>
  </pivotCaches>
  <extLst>
    <ext xmlns:x14="http://schemas.microsoft.com/office/spreadsheetml/2009/9/main" uri="{876F7934-8845-4945-9796-88D515C7AA90}">
      <x14:pivotCaches>
        <pivotCache cacheId="77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9eddcee-66f4-4e55-8510-0346933c5a19" name="Hospital Emergency Room Data" connection="Query - Hospital Emergency Room Data"/>
          <x15:modelTable id="Calender_Table_207e9d98-9481-48a9-8047-42a01a97e071" name="Calender_Table" connection="Query - Calender_Table"/>
        </x15:modelTables>
        <x15:modelRelationships>
          <x15:modelRelationship fromTable="Hospital Emergency Room Data" fromColumn="Patient Admission Date" toTable="Calender_Table" toColumn="Column1"/>
        </x15:modelRelationships>
        <x15:extLst>
          <ext xmlns:x16="http://schemas.microsoft.com/office/spreadsheetml/2014/11/main" uri="{9835A34E-60A6-4A7C-AAB8-D5F71C897F49}">
            <x16:modelTimeGroupings>
              <x16:modelTimeGrouping tableName="Calender_Tabl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5" i="1" l="1"/>
  <c r="B65" i="1"/>
  <c r="C65" i="1"/>
  <c r="B64" i="1"/>
  <c r="C64" i="1"/>
  <c r="A64" i="1"/>
  <c r="C11" i="1"/>
  <c r="C7"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57EFD1-E624-42A8-80DA-195221D52EEB}" name="Query - Calender_Table" description="Connection to the 'Calender_Table' query in the workbook." type="100" refreshedVersion="7" minRefreshableVersion="5">
    <extLst>
      <ext xmlns:x15="http://schemas.microsoft.com/office/spreadsheetml/2010/11/main" uri="{DE250136-89BD-433C-8126-D09CA5730AF9}">
        <x15:connection id="132acf6c-1c3c-4e6b-a0f6-825491f7053b"/>
      </ext>
    </extLst>
  </connection>
  <connection id="2" xr16:uid="{034CC7A8-09FB-402E-AF70-9D4FEF60B8A5}"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078e340a-725b-4e87-8200-0c0e750c9578"/>
      </ext>
    </extLst>
  </connection>
  <connection id="3" xr16:uid="{CAE397B1-C7A9-43F0-82CF-144FCACB376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<sst xmlns="http://schemas.openxmlformats.org/spreadsheetml/2006/main" count="143" uniqueCount="66">
  <si>
    <t>Row Labels</t>
  </si>
  <si>
    <t>Grand Total</t>
  </si>
  <si>
    <t>Distinct Count of Patient Id</t>
  </si>
  <si>
    <t>Average of Patient Waittime</t>
  </si>
  <si>
    <t>Average of Patient Satisfaction Score</t>
  </si>
  <si>
    <t xml:space="preserve">Daily trend </t>
  </si>
  <si>
    <t>Admitted</t>
  </si>
  <si>
    <t>Not Admitted</t>
  </si>
  <si>
    <t>Delay</t>
  </si>
  <si>
    <t>Ontime</t>
  </si>
  <si>
    <t>Count of Patient Attend Status</t>
  </si>
  <si>
    <t>Count of Patient Attend Status2</t>
  </si>
  <si>
    <t>Female</t>
  </si>
  <si>
    <t>None</t>
  </si>
  <si>
    <t>10-19</t>
  </si>
  <si>
    <t>50-59</t>
  </si>
  <si>
    <t>70-79</t>
  </si>
  <si>
    <t>20-29</t>
  </si>
  <si>
    <t>30-39</t>
  </si>
  <si>
    <t>40-49</t>
  </si>
  <si>
    <t>60-69</t>
  </si>
  <si>
    <t>Male</t>
  </si>
  <si>
    <t>0-09</t>
  </si>
  <si>
    <t>General Practice</t>
  </si>
  <si>
    <t>Orthopedics</t>
  </si>
  <si>
    <t>Physiotherapy</t>
  </si>
  <si>
    <t>Cardiology</t>
  </si>
  <si>
    <t>Neurology</t>
  </si>
  <si>
    <t>Gastroenterology</t>
  </si>
  <si>
    <t>Renal</t>
  </si>
  <si>
    <t>Admission Status</t>
  </si>
  <si>
    <t>Patient</t>
  </si>
  <si>
    <t>% Status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</si>
  <si>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</si>
  <si>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</si>
  <si>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</si>
  <si>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</si>
  <si>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</si>
  <si>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</si>
  <si>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</si>
  <si>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</si>
  <si>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</si>
  <si>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</si>
  <si>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</si>
  <si>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</si>
  <si>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</si>
  <si>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</si>
  <si>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</si>
  <si>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</si>
  <si>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</si>
  <si>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</si>
  <si>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</si>
  <si>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</si>
  <si>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</si>
  <si>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</si>
  <si>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</si>
  <si>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</si>
  <si>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</si>
  <si>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</si>
  <si>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</si>
  <si>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</si>
  <si>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</si>
  <si>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Count of Patient Id</t>
  </si>
  <si>
    <t>Count of Patient Gender</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</si>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</sst>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0" fillId="3" borderId="0" xfId="0" applyFill="1"/>
    <xf numFmtId="10" fontId="0" fillId="0" borderId="0" xfId="0" applyNumberFormat="1"/>
    <xf numFmtId="9" fontId="0" fillId="0" borderId="0" xfId="0" applyNumberFormat="1"/>
    <xf numFmtId="0" fontId="0" fillId="4" borderId="0" xfId="0" applyFill="1" applyBorder="1" applyAlignment="1">
      <alignment horizontal="center" vertical="center"/>
    </xf>
    <xf numFmtId="9" fontId="0" fillId="4" borderId="0" xfId="1" applyFont="1" applyFill="1" applyBorder="1" applyAlignment="1">
      <alignment horizontal="center" vertical="center"/>
    </xf>
    <xf numFmtId="0" fontId="2" fillId="5" borderId="0" xfId="0" applyFont="1" applyFill="1" applyBorder="1" applyAlignment="1">
      <alignment horizontal="center"/>
    </xf>
    <xf numFmtId="1" fontId="0" fillId="0" borderId="0" xfId="0" applyNumberFormat="1"/>
    <xf numFmtId="0" fontId="0" fillId="4" borderId="0" xfId="0" applyFill="1"/>
    <xf numFmtId="0" fontId="0" fillId="5" borderId="0" xfId="0" applyFill="1"/>
  </cellXfs>
  <cellStyles count="2">
    <cellStyle name="Normal" xfId="0" builtinId="0"/>
    <cellStyle name="Percent" xfId="1" builtinId="5"/>
  </cellStyles>
  <dxfs count="14">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4" formatCode="0.00%"/>
    </dxf>
    <dxf>
      <numFmt numFmtId="13" formatCode="0%"/>
    </dxf>
    <dxf>
      <numFmt numFmtId="13" formatCode="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A87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507217847769028E-2"/>
          <c:y val="0.17712477408817953"/>
          <c:w val="0.98949278215223102"/>
          <c:h val="0.75569962962491211"/>
        </c:manualLayout>
      </c:layout>
      <c:areaChart>
        <c:grouping val="standard"/>
        <c:varyColors val="0"/>
        <c:ser>
          <c:idx val="0"/>
          <c:order val="0"/>
          <c:tx>
            <c:strRef>
              <c:f>KPI!$E$5</c:f>
              <c:strCache>
                <c:ptCount val="1"/>
                <c:pt idx="0">
                  <c:v>Total</c:v>
                </c:pt>
              </c:strCache>
            </c:strRef>
          </c:tx>
          <c:spPr>
            <a:solidFill>
              <a:schemeClr val="accent5">
                <a:lumMod val="50000"/>
              </a:schemeClr>
            </a:solidFill>
            <a:ln w="25400">
              <a:noFill/>
            </a:ln>
            <a:effectLst/>
          </c:spPr>
          <c:cat>
            <c:strRef>
              <c:f>KPI!$D$6:$D$35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KPI!$E$6:$E$35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818C-4E4A-826C-0ABCBA6FED19}"/>
            </c:ext>
          </c:extLst>
        </c:ser>
        <c:dLbls>
          <c:showLegendKey val="0"/>
          <c:showVal val="0"/>
          <c:showCatName val="0"/>
          <c:showSerName val="0"/>
          <c:showPercent val="0"/>
          <c:showBubbleSize val="0"/>
        </c:dLbls>
        <c:axId val="526142864"/>
        <c:axId val="526139952"/>
      </c:areaChart>
      <c:catAx>
        <c:axId val="526142864"/>
        <c:scaling>
          <c:orientation val="minMax"/>
        </c:scaling>
        <c:delete val="1"/>
        <c:axPos val="b"/>
        <c:numFmt formatCode="General" sourceLinked="1"/>
        <c:majorTickMark val="out"/>
        <c:minorTickMark val="none"/>
        <c:tickLblPos val="nextTo"/>
        <c:crossAx val="526139952"/>
        <c:crosses val="autoZero"/>
        <c:auto val="1"/>
        <c:lblAlgn val="ctr"/>
        <c:lblOffset val="100"/>
        <c:noMultiLvlLbl val="0"/>
      </c:catAx>
      <c:valAx>
        <c:axId val="526139952"/>
        <c:scaling>
          <c:orientation val="minMax"/>
        </c:scaling>
        <c:delete val="1"/>
        <c:axPos val="l"/>
        <c:numFmt formatCode="General" sourceLinked="1"/>
        <c:majorTickMark val="none"/>
        <c:minorTickMark val="none"/>
        <c:tickLblPos val="nextTo"/>
        <c:crossAx val="526142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86522988329563E-2"/>
          <c:y val="1.9879533159687438E-2"/>
          <c:w val="0.91842695402334085"/>
          <c:h val="0.94036140052093764"/>
        </c:manualLayout>
      </c:layout>
      <c:areaChart>
        <c:grouping val="standard"/>
        <c:varyColors val="0"/>
        <c:ser>
          <c:idx val="0"/>
          <c:order val="0"/>
          <c:tx>
            <c:strRef>
              <c:f>KPI!$J$4</c:f>
              <c:strCache>
                <c:ptCount val="1"/>
                <c:pt idx="0">
                  <c:v>Total</c:v>
                </c:pt>
              </c:strCache>
            </c:strRef>
          </c:tx>
          <c:spPr>
            <a:solidFill>
              <a:schemeClr val="accent5">
                <a:lumMod val="50000"/>
              </a:schemeClr>
            </a:solidFill>
            <a:ln w="25400">
              <a:noFill/>
            </a:ln>
            <a:effectLst/>
          </c:spPr>
          <c:cat>
            <c:strRef>
              <c:f>KPI!$I$5:$I$34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KPI!$J$5:$J$34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1-9213-481F-88B3-A8188E7968E4}"/>
            </c:ext>
          </c:extLst>
        </c:ser>
        <c:dLbls>
          <c:showLegendKey val="0"/>
          <c:showVal val="0"/>
          <c:showCatName val="0"/>
          <c:showSerName val="0"/>
          <c:showPercent val="0"/>
          <c:showBubbleSize val="0"/>
        </c:dLbls>
        <c:axId val="1259264576"/>
        <c:axId val="1259269152"/>
      </c:areaChart>
      <c:catAx>
        <c:axId val="1259264576"/>
        <c:scaling>
          <c:orientation val="minMax"/>
        </c:scaling>
        <c:delete val="1"/>
        <c:axPos val="b"/>
        <c:numFmt formatCode="General" sourceLinked="1"/>
        <c:majorTickMark val="out"/>
        <c:minorTickMark val="none"/>
        <c:tickLblPos val="nextTo"/>
        <c:crossAx val="1259269152"/>
        <c:crosses val="autoZero"/>
        <c:auto val="1"/>
        <c:lblAlgn val="ctr"/>
        <c:lblOffset val="100"/>
        <c:noMultiLvlLbl val="0"/>
      </c:catAx>
      <c:valAx>
        <c:axId val="1259269152"/>
        <c:scaling>
          <c:orientation val="minMax"/>
        </c:scaling>
        <c:delete val="1"/>
        <c:axPos val="l"/>
        <c:numFmt formatCode="0.00" sourceLinked="1"/>
        <c:majorTickMark val="none"/>
        <c:minorTickMark val="none"/>
        <c:tickLblPos val="nextTo"/>
        <c:crossAx val="12592645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876863641208513"/>
          <c:h val="0.96887209125624385"/>
        </c:manualLayout>
      </c:layout>
      <c:areaChart>
        <c:grouping val="standard"/>
        <c:varyColors val="0"/>
        <c:ser>
          <c:idx val="0"/>
          <c:order val="0"/>
          <c:tx>
            <c:strRef>
              <c:f>KPI!$P$4</c:f>
              <c:strCache>
                <c:ptCount val="1"/>
                <c:pt idx="0">
                  <c:v>Total</c:v>
                </c:pt>
              </c:strCache>
            </c:strRef>
          </c:tx>
          <c:spPr>
            <a:solidFill>
              <a:schemeClr val="accent5">
                <a:lumMod val="50000"/>
              </a:schemeClr>
            </a:solidFill>
            <a:ln w="25400">
              <a:noFill/>
            </a:ln>
            <a:effectLst/>
          </c:spPr>
          <c:cat>
            <c:strRef>
              <c:f>KPI!$O$5:$O$33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KPI!$P$5:$P$33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1-8A27-454F-9048-DE87DBADE801}"/>
            </c:ext>
          </c:extLst>
        </c:ser>
        <c:dLbls>
          <c:showLegendKey val="0"/>
          <c:showVal val="0"/>
          <c:showCatName val="0"/>
          <c:showSerName val="0"/>
          <c:showPercent val="0"/>
          <c:showBubbleSize val="0"/>
        </c:dLbls>
        <c:axId val="1260556752"/>
        <c:axId val="1260557168"/>
      </c:areaChart>
      <c:catAx>
        <c:axId val="1260556752"/>
        <c:scaling>
          <c:orientation val="minMax"/>
        </c:scaling>
        <c:delete val="1"/>
        <c:axPos val="b"/>
        <c:numFmt formatCode="General" sourceLinked="1"/>
        <c:majorTickMark val="out"/>
        <c:minorTickMark val="none"/>
        <c:tickLblPos val="nextTo"/>
        <c:crossAx val="1260557168"/>
        <c:crosses val="autoZero"/>
        <c:auto val="1"/>
        <c:lblAlgn val="ctr"/>
        <c:lblOffset val="100"/>
        <c:noMultiLvlLbl val="0"/>
      </c:catAx>
      <c:valAx>
        <c:axId val="1260557168"/>
        <c:scaling>
          <c:orientation val="minMax"/>
        </c:scaling>
        <c:delete val="1"/>
        <c:axPos val="l"/>
        <c:numFmt formatCode="0.00" sourceLinked="1"/>
        <c:majorTickMark val="none"/>
        <c:minorTickMark val="none"/>
        <c:tickLblPos val="nextTo"/>
        <c:crossAx val="12605567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KPI!$B$70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KPI!$A$71:$A$79</c:f>
              <c:strCache>
                <c:ptCount val="8"/>
                <c:pt idx="0">
                  <c:v>0-09</c:v>
                </c:pt>
                <c:pt idx="1">
                  <c:v>10-19</c:v>
                </c:pt>
                <c:pt idx="2">
                  <c:v>20-29</c:v>
                </c:pt>
                <c:pt idx="3">
                  <c:v>30-39</c:v>
                </c:pt>
                <c:pt idx="4">
                  <c:v>40-49</c:v>
                </c:pt>
                <c:pt idx="5">
                  <c:v>50-59</c:v>
                </c:pt>
                <c:pt idx="6">
                  <c:v>60-69</c:v>
                </c:pt>
                <c:pt idx="7">
                  <c:v>70-79</c:v>
                </c:pt>
              </c:strCache>
            </c:strRef>
          </c:cat>
          <c:val>
            <c:numRef>
              <c:f>KPI!$B$71:$B$79</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3-DC7F-4E35-BB29-C88790123BA7}"/>
            </c:ext>
          </c:extLst>
        </c:ser>
        <c:dLbls>
          <c:dLblPos val="outEnd"/>
          <c:showLegendKey val="0"/>
          <c:showVal val="1"/>
          <c:showCatName val="0"/>
          <c:showSerName val="0"/>
          <c:showPercent val="0"/>
          <c:showBubbleSize val="0"/>
        </c:dLbls>
        <c:gapWidth val="219"/>
        <c:overlap val="-27"/>
        <c:axId val="136753615"/>
        <c:axId val="136754447"/>
      </c:barChart>
      <c:catAx>
        <c:axId val="13675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54447"/>
        <c:crosses val="autoZero"/>
        <c:auto val="1"/>
        <c:lblAlgn val="ctr"/>
        <c:lblOffset val="100"/>
        <c:noMultiLvlLbl val="0"/>
      </c:catAx>
      <c:valAx>
        <c:axId val="136754447"/>
        <c:scaling>
          <c:orientation val="minMax"/>
        </c:scaling>
        <c:delete val="1"/>
        <c:axPos val="l"/>
        <c:numFmt formatCode="0" sourceLinked="1"/>
        <c:majorTickMark val="none"/>
        <c:minorTickMark val="none"/>
        <c:tickLblPos val="nextTo"/>
        <c:crossAx val="13675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5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092079238093032"/>
          <c:y val="0.21963749696188517"/>
          <c:w val="0.49435361109135945"/>
          <c:h val="0.65493955566492612"/>
        </c:manualLayout>
      </c:layout>
      <c:pieChart>
        <c:varyColors val="1"/>
        <c:ser>
          <c:idx val="0"/>
          <c:order val="0"/>
          <c:tx>
            <c:strRef>
              <c:f>KPI!$B$84</c:f>
              <c:strCache>
                <c:ptCount val="1"/>
                <c:pt idx="0">
                  <c:v>Total</c:v>
                </c:pt>
              </c:strCache>
            </c:strRef>
          </c:tx>
          <c:dPt>
            <c:idx val="0"/>
            <c:bubble3D val="0"/>
            <c:spPr>
              <a:solidFill>
                <a:schemeClr val="accent5">
                  <a:lumMod val="50000"/>
                </a:schemeClr>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KPI!$A$85:$A$87</c:f>
              <c:strCache>
                <c:ptCount val="2"/>
                <c:pt idx="0">
                  <c:v>Delay</c:v>
                </c:pt>
                <c:pt idx="1">
                  <c:v>Ontime</c:v>
                </c:pt>
              </c:strCache>
            </c:strRef>
          </c:cat>
          <c:val>
            <c:numRef>
              <c:f>KPI!$B$85:$B$87</c:f>
              <c:numCache>
                <c:formatCode>0</c:formatCode>
                <c:ptCount val="2"/>
                <c:pt idx="0">
                  <c:v>283</c:v>
                </c:pt>
                <c:pt idx="1">
                  <c:v>148</c:v>
                </c:pt>
              </c:numCache>
            </c:numRef>
          </c:val>
          <c:extLst>
            <c:ext xmlns:c16="http://schemas.microsoft.com/office/drawing/2014/chart" uri="{C3380CC4-5D6E-409C-BE32-E72D297353CC}">
              <c16:uniqueId val="{00000006-8DDE-4BCD-98C1-7F745DD031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7.9743815600634427E-2"/>
          <c:y val="3.6624191576243685E-2"/>
          <c:w val="0.75226427011659402"/>
          <c:h val="0.20699106992808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[Dashboard.xlsx]KPI!PivotTable10</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5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3707164027797965"/>
          <c:y val="0.18684945631796027"/>
          <c:w val="0.51870057318296225"/>
          <c:h val="0.67243344581927256"/>
        </c:manualLayout>
      </c:layout>
      <c:doughnutChart>
        <c:varyColors val="1"/>
        <c:ser>
          <c:idx val="0"/>
          <c:order val="0"/>
          <c:tx>
            <c:strRef>
              <c:f>KPI!$B$96</c:f>
              <c:strCache>
                <c:ptCount val="1"/>
                <c:pt idx="0">
                  <c:v>Total</c:v>
                </c:pt>
              </c:strCache>
            </c:strRef>
          </c:tx>
          <c:dPt>
            <c:idx val="0"/>
            <c:bubble3D val="0"/>
            <c:spPr>
              <a:solidFill>
                <a:schemeClr val="accent5">
                  <a:lumMod val="50000"/>
                </a:schemeClr>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KPI!$A$97:$A$99</c:f>
              <c:strCache>
                <c:ptCount val="2"/>
                <c:pt idx="0">
                  <c:v>Female</c:v>
                </c:pt>
                <c:pt idx="1">
                  <c:v>Male</c:v>
                </c:pt>
              </c:strCache>
            </c:strRef>
          </c:cat>
          <c:val>
            <c:numRef>
              <c:f>KPI!$B$97:$B$99</c:f>
              <c:numCache>
                <c:formatCode>0</c:formatCode>
                <c:ptCount val="2"/>
                <c:pt idx="0">
                  <c:v>194</c:v>
                </c:pt>
                <c:pt idx="1">
                  <c:v>237</c:v>
                </c:pt>
              </c:numCache>
            </c:numRef>
          </c:val>
          <c:extLst>
            <c:ext xmlns:c16="http://schemas.microsoft.com/office/drawing/2014/chart" uri="{C3380CC4-5D6E-409C-BE32-E72D297353CC}">
              <c16:uniqueId val="{00000006-2B2F-4770-8A82-2CC2BDC8793D}"/>
            </c:ext>
          </c:extLst>
        </c:ser>
        <c:dLbls>
          <c:showLegendKey val="0"/>
          <c:showVal val="1"/>
          <c:showCatName val="0"/>
          <c:showSerName val="0"/>
          <c:showPercent val="0"/>
          <c:showBubbleSize val="0"/>
          <c:showLeaderLines val="1"/>
        </c:dLbls>
        <c:firstSliceAng val="0"/>
        <c:holeSize val="34"/>
      </c:doughnutChart>
      <c:spPr>
        <a:noFill/>
        <a:ln>
          <a:noFill/>
        </a:ln>
        <a:effectLst/>
      </c:spPr>
    </c:plotArea>
    <c:legend>
      <c:legendPos val="t"/>
      <c:layout>
        <c:manualLayout>
          <c:xMode val="edge"/>
          <c:yMode val="edge"/>
          <c:x val="0.19705071443601097"/>
          <c:y val="3.5714285714285712E-2"/>
          <c:w val="0.73654688426174175"/>
          <c:h val="0.201824684851989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93299674410879"/>
          <c:y val="3.2624101633067483E-2"/>
          <c:w val="0.6697113838483415"/>
          <c:h val="0.93475179673386499"/>
        </c:manualLayout>
      </c:layout>
      <c:barChart>
        <c:barDir val="bar"/>
        <c:grouping val="clustered"/>
        <c:varyColors val="0"/>
        <c:ser>
          <c:idx val="0"/>
          <c:order val="0"/>
          <c:tx>
            <c:strRef>
              <c:f>KPI!$B$108</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KPI!$A$109:$A$117</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KPI!$B$109:$B$117</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2-3F62-491B-B937-1A05A88F9330}"/>
            </c:ext>
          </c:extLst>
        </c:ser>
        <c:dLbls>
          <c:dLblPos val="outEnd"/>
          <c:showLegendKey val="0"/>
          <c:showVal val="1"/>
          <c:showCatName val="0"/>
          <c:showSerName val="0"/>
          <c:showPercent val="0"/>
          <c:showBubbleSize val="0"/>
        </c:dLbls>
        <c:gapWidth val="101"/>
        <c:axId val="485575247"/>
        <c:axId val="485574415"/>
      </c:barChart>
      <c:catAx>
        <c:axId val="48557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85574415"/>
        <c:crosses val="autoZero"/>
        <c:auto val="1"/>
        <c:lblAlgn val="ctr"/>
        <c:lblOffset val="100"/>
        <c:noMultiLvlLbl val="0"/>
      </c:catAx>
      <c:valAx>
        <c:axId val="485574415"/>
        <c:scaling>
          <c:orientation val="minMax"/>
        </c:scaling>
        <c:delete val="1"/>
        <c:axPos val="b"/>
        <c:numFmt formatCode="0" sourceLinked="1"/>
        <c:majorTickMark val="none"/>
        <c:minorTickMark val="none"/>
        <c:tickLblPos val="nextTo"/>
        <c:crossAx val="48557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[Dashboard.xlsx]KPI!PivotTable4</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7391304347826E-2"/>
          <c:y val="3.3333333333333333E-2"/>
          <c:w val="0.92753623188405798"/>
          <c:h val="0.74554435695538057"/>
        </c:manualLayout>
      </c:layout>
      <c:areaChart>
        <c:grouping val="standard"/>
        <c:varyColors val="0"/>
        <c:ser>
          <c:idx val="0"/>
          <c:order val="0"/>
          <c:tx>
            <c:strRef>
              <c:f>KPI!$E$5</c:f>
              <c:strCache>
                <c:ptCount val="1"/>
                <c:pt idx="0">
                  <c:v>Total</c:v>
                </c:pt>
              </c:strCache>
            </c:strRef>
          </c:tx>
          <c:spPr>
            <a:solidFill>
              <a:schemeClr val="accent1"/>
            </a:solidFill>
            <a:ln w="25400">
              <a:noFill/>
            </a:ln>
            <a:effectLst/>
          </c:spPr>
          <c:cat>
            <c:strRef>
              <c:f>KPI!$D$6:$D$35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KPI!$E$6:$E$35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95B7-4D98-8EEA-E472B7FAD5A6}"/>
            </c:ext>
          </c:extLst>
        </c:ser>
        <c:dLbls>
          <c:showLegendKey val="0"/>
          <c:showVal val="0"/>
          <c:showCatName val="0"/>
          <c:showSerName val="0"/>
          <c:showPercent val="0"/>
          <c:showBubbleSize val="0"/>
        </c:dLbls>
        <c:axId val="526142864"/>
        <c:axId val="526139952"/>
      </c:areaChart>
      <c:catAx>
        <c:axId val="52614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26139952"/>
        <c:crosses val="autoZero"/>
        <c:auto val="1"/>
        <c:lblAlgn val="ctr"/>
        <c:lblOffset val="100"/>
        <c:noMultiLvlLbl val="0"/>
      </c:catAx>
      <c:valAx>
        <c:axId val="526139952"/>
        <c:scaling>
          <c:orientation val="minMax"/>
        </c:scaling>
        <c:delete val="1"/>
        <c:axPos val="l"/>
        <c:numFmt formatCode="General" sourceLinked="1"/>
        <c:majorTickMark val="none"/>
        <c:minorTickMark val="none"/>
        <c:tickLblPos val="nextTo"/>
        <c:crossAx val="526142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[Dashboard.xlsx]KPI!PivotTable6</c:name>
    <c:fmtId val="6"/>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KPI!$J$4</c:f>
              <c:strCache>
                <c:ptCount val="1"/>
                <c:pt idx="0">
                  <c:v>Total</c:v>
                </c:pt>
              </c:strCache>
            </c:strRef>
          </c:tx>
          <c:spPr>
            <a:solidFill>
              <a:schemeClr val="accent1"/>
            </a:solidFill>
            <a:ln w="25400">
              <a:noFill/>
            </a:ln>
            <a:effectLst/>
          </c:spPr>
          <c:cat>
            <c:strRef>
              <c:f>KPI!$I$5:$I$34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KPI!$J$5:$J$34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1-B34E-48D3-BA68-58C53AB76399}"/>
            </c:ext>
          </c:extLst>
        </c:ser>
        <c:dLbls>
          <c:showLegendKey val="0"/>
          <c:showVal val="0"/>
          <c:showCatName val="0"/>
          <c:showSerName val="0"/>
          <c:showPercent val="0"/>
          <c:showBubbleSize val="0"/>
        </c:dLbls>
        <c:axId val="1259264576"/>
        <c:axId val="1259269152"/>
      </c:areaChart>
      <c:catAx>
        <c:axId val="1259264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269152"/>
        <c:crosses val="autoZero"/>
        <c:auto val="1"/>
        <c:lblAlgn val="ctr"/>
        <c:lblOffset val="100"/>
        <c:noMultiLvlLbl val="0"/>
      </c:catAx>
      <c:valAx>
        <c:axId val="1259269152"/>
        <c:scaling>
          <c:orientation val="minMax"/>
        </c:scaling>
        <c:delete val="1"/>
        <c:axPos val="l"/>
        <c:numFmt formatCode="0.00" sourceLinked="1"/>
        <c:majorTickMark val="none"/>
        <c:minorTickMark val="none"/>
        <c:tickLblPos val="nextTo"/>
        <c:crossAx val="12592645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[Dashboard.xlsx]KPI!PivotTable7</c:name>
    <c:fmtId val="1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KPI!$P$4</c:f>
              <c:strCache>
                <c:ptCount val="1"/>
                <c:pt idx="0">
                  <c:v>Total</c:v>
                </c:pt>
              </c:strCache>
            </c:strRef>
          </c:tx>
          <c:spPr>
            <a:solidFill>
              <a:schemeClr val="accent1"/>
            </a:solidFill>
            <a:ln w="25400">
              <a:noFill/>
            </a:ln>
            <a:effectLst/>
          </c:spPr>
          <c:cat>
            <c:strRef>
              <c:f>KPI!$O$5:$O$33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KPI!$P$5:$P$33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1-D8DC-41BF-91BA-51D6C63D08CF}"/>
            </c:ext>
          </c:extLst>
        </c:ser>
        <c:dLbls>
          <c:showLegendKey val="0"/>
          <c:showVal val="0"/>
          <c:showCatName val="0"/>
          <c:showSerName val="0"/>
          <c:showPercent val="0"/>
          <c:showBubbleSize val="0"/>
        </c:dLbls>
        <c:axId val="1260556752"/>
        <c:axId val="1260557168"/>
      </c:areaChart>
      <c:catAx>
        <c:axId val="1260556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57168"/>
        <c:crosses val="autoZero"/>
        <c:auto val="1"/>
        <c:lblAlgn val="ctr"/>
        <c:lblOffset val="100"/>
        <c:noMultiLvlLbl val="0"/>
      </c:catAx>
      <c:valAx>
        <c:axId val="1260557168"/>
        <c:scaling>
          <c:orientation val="minMax"/>
        </c:scaling>
        <c:delete val="1"/>
        <c:axPos val="l"/>
        <c:numFmt formatCode="0.00" sourceLinked="1"/>
        <c:majorTickMark val="none"/>
        <c:minorTickMark val="none"/>
        <c:tickLblPos val="nextTo"/>
        <c:crossAx val="12605567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[Dashboard.xlsx]KPI!PivotTable5</c:name>
    <c:fmtId val="0"/>
  </c:pivotSource>
  <c:chart>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noFill/>
          <a:ln>
            <a:noFill/>
          </a:ln>
          <a:effectLst/>
        </c:spPr>
        <c:dLbl>
          <c:idx val="0"/>
          <c:layout>
            <c:manualLayout>
              <c:x val="0.54764369142327551"/>
              <c:y val="9.9901726176926192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noFill/>
          <a:ln>
            <a:noFill/>
          </a:ln>
          <a:effectLst/>
        </c:spPr>
        <c:dLbl>
          <c:idx val="0"/>
          <c:layout>
            <c:manualLayout>
              <c:x val="0.54592378073489678"/>
              <c:y val="0.14096907983498877"/>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5.8636896929520538E-2"/>
          <c:y val="7.6457189612945675E-2"/>
          <c:w val="0.87792944844812415"/>
          <c:h val="0.8496437777709509"/>
        </c:manualLayout>
      </c:layout>
      <c:barChart>
        <c:barDir val="bar"/>
        <c:grouping val="clustered"/>
        <c:varyColors val="0"/>
        <c:ser>
          <c:idx val="0"/>
          <c:order val="0"/>
          <c:tx>
            <c:strRef>
              <c:f>KPI!$B$57</c:f>
              <c:strCache>
                <c:ptCount val="1"/>
                <c:pt idx="0">
                  <c:v>Count of Patient Attend Status</c:v>
                </c:pt>
              </c:strCache>
            </c:strRef>
          </c:tx>
          <c:spPr>
            <a:solidFill>
              <a:schemeClr val="accent5">
                <a:lumMod val="50000"/>
              </a:schemeClr>
            </a:solidFill>
            <a:ln>
              <a:noFill/>
            </a:ln>
            <a:effectLst/>
          </c:spPr>
          <c:invertIfNegative val="0"/>
          <c:cat>
            <c:strRef>
              <c:f>KPI!$A$58:$A$60</c:f>
              <c:strCache>
                <c:ptCount val="2"/>
                <c:pt idx="0">
                  <c:v>Not Admitted</c:v>
                </c:pt>
                <c:pt idx="1">
                  <c:v>Admitted</c:v>
                </c:pt>
              </c:strCache>
            </c:strRef>
          </c:cat>
          <c:val>
            <c:numRef>
              <c:f>KPI!$B$58:$B$60</c:f>
              <c:numCache>
                <c:formatCode>0.00</c:formatCode>
                <c:ptCount val="2"/>
                <c:pt idx="0">
                  <c:v>207</c:v>
                </c:pt>
                <c:pt idx="1">
                  <c:v>224</c:v>
                </c:pt>
              </c:numCache>
            </c:numRef>
          </c:val>
          <c:extLst>
            <c:ext xmlns:c16="http://schemas.microsoft.com/office/drawing/2014/chart" uri="{C3380CC4-5D6E-409C-BE32-E72D297353CC}">
              <c16:uniqueId val="{00000006-8553-4D5F-9794-3D6AB54580E0}"/>
            </c:ext>
          </c:extLst>
        </c:ser>
        <c:ser>
          <c:idx val="1"/>
          <c:order val="1"/>
          <c:tx>
            <c:strRef>
              <c:f>KPI!$C$57</c:f>
              <c:strCache>
                <c:ptCount val="1"/>
                <c:pt idx="0">
                  <c:v>Count of Patient Attend Status2</c:v>
                </c:pt>
              </c:strCache>
            </c:strRef>
          </c:tx>
          <c:spPr>
            <a:noFill/>
            <a:ln>
              <a:noFill/>
            </a:ln>
            <a:effectLst/>
          </c:spPr>
          <c:invertIfNegative val="0"/>
          <c:dLbls>
            <c:dLbl>
              <c:idx val="0"/>
              <c:layout>
                <c:manualLayout>
                  <c:x val="0.54764369142327551"/>
                  <c:y val="9.990172617692619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54592378073489678"/>
                  <c:y val="0.14096907983498877"/>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KPI!$A$58:$A$60</c:f>
              <c:strCache>
                <c:ptCount val="2"/>
                <c:pt idx="0">
                  <c:v>Not Admitted</c:v>
                </c:pt>
                <c:pt idx="1">
                  <c:v>Admitted</c:v>
                </c:pt>
              </c:strCache>
            </c:strRef>
          </c:cat>
          <c:val>
            <c:numRef>
              <c:f>KPI!$C$58:$C$60</c:f>
              <c:numCache>
                <c:formatCode>0%</c:formatCode>
                <c:ptCount val="2"/>
                <c:pt idx="0">
                  <c:v>0.48027842227378192</c:v>
                </c:pt>
                <c:pt idx="1">
                  <c:v>0.51972157772621808</c:v>
                </c:pt>
              </c:numCache>
            </c:numRef>
          </c:val>
          <c:extLst>
            <c:ext xmlns:c16="http://schemas.microsoft.com/office/drawing/2014/chart" uri="{C3380CC4-5D6E-409C-BE32-E72D297353CC}">
              <c16:uniqueId val="{00000007-8553-4D5F-9794-3D6AB54580E0}"/>
            </c:ext>
          </c:extLst>
        </c:ser>
        <c:dLbls>
          <c:showLegendKey val="0"/>
          <c:showVal val="0"/>
          <c:showCatName val="0"/>
          <c:showSerName val="0"/>
          <c:showPercent val="0"/>
          <c:showBubbleSize val="0"/>
        </c:dLbls>
        <c:gapWidth val="0"/>
        <c:overlap val="26"/>
        <c:axId val="1535756207"/>
        <c:axId val="1535749135"/>
      </c:barChart>
      <c:catAx>
        <c:axId val="1535756207"/>
        <c:scaling>
          <c:orientation val="minMax"/>
        </c:scaling>
        <c:delete val="1"/>
        <c:axPos val="l"/>
        <c:numFmt formatCode="General" sourceLinked="1"/>
        <c:majorTickMark val="none"/>
        <c:minorTickMark val="none"/>
        <c:tickLblPos val="nextTo"/>
        <c:crossAx val="1535749135"/>
        <c:crosses val="autoZero"/>
        <c:auto val="1"/>
        <c:lblAlgn val="ctr"/>
        <c:lblOffset val="100"/>
        <c:noMultiLvlLbl val="0"/>
      </c:catAx>
      <c:valAx>
        <c:axId val="1535749135"/>
        <c:scaling>
          <c:orientation val="minMax"/>
        </c:scaling>
        <c:delete val="1"/>
        <c:axPos val="b"/>
        <c:numFmt formatCode="0.00" sourceLinked="1"/>
        <c:majorTickMark val="none"/>
        <c:minorTickMark val="none"/>
        <c:tickLblPos val="nextTo"/>
        <c:crossAx val="1535756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[Dashboard.xlsx]KPI!PivotTable8</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KPI!$A$71:$A$79</c:f>
              <c:strCache>
                <c:ptCount val="8"/>
                <c:pt idx="0">
                  <c:v>0-09</c:v>
                </c:pt>
                <c:pt idx="1">
                  <c:v>10-19</c:v>
                </c:pt>
                <c:pt idx="2">
                  <c:v>20-29</c:v>
                </c:pt>
                <c:pt idx="3">
                  <c:v>30-39</c:v>
                </c:pt>
                <c:pt idx="4">
                  <c:v>40-49</c:v>
                </c:pt>
                <c:pt idx="5">
                  <c:v>50-59</c:v>
                </c:pt>
                <c:pt idx="6">
                  <c:v>60-69</c:v>
                </c:pt>
                <c:pt idx="7">
                  <c:v>70-79</c:v>
                </c:pt>
              </c:strCache>
            </c:strRef>
          </c:cat>
          <c:val>
            <c:numRef>
              <c:f>KPI!$B$71:$B$79</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3-25E1-4FBA-B2D3-EEB7063B3304}"/>
            </c:ext>
          </c:extLst>
        </c:ser>
        <c:dLbls>
          <c:dLblPos val="outEnd"/>
          <c:showLegendKey val="0"/>
          <c:showVal val="1"/>
          <c:showCatName val="0"/>
          <c:showSerName val="0"/>
          <c:showPercent val="0"/>
          <c:showBubbleSize val="0"/>
        </c:dLbls>
        <c:gapWidth val="219"/>
        <c:overlap val="-27"/>
        <c:axId val="136753615"/>
        <c:axId val="136754447"/>
      </c:barChart>
      <c:catAx>
        <c:axId val="13675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54447"/>
        <c:crosses val="autoZero"/>
        <c:auto val="1"/>
        <c:lblAlgn val="ctr"/>
        <c:lblOffset val="100"/>
        <c:noMultiLvlLbl val="0"/>
      </c:catAx>
      <c:valAx>
        <c:axId val="136754447"/>
        <c:scaling>
          <c:orientation val="minMax"/>
        </c:scaling>
        <c:delete val="1"/>
        <c:axPos val="l"/>
        <c:numFmt formatCode="0" sourceLinked="1"/>
        <c:majorTickMark val="none"/>
        <c:minorTickMark val="none"/>
        <c:tickLblPos val="nextTo"/>
        <c:crossAx val="13675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936399955249367"/>
              <c:y val="-0.10055856113447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KPI!$B$84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2936399955249367"/>
                  <c:y val="-0.10055856113447854"/>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KPI!$A$85:$A$87</c:f>
              <c:strCache>
                <c:ptCount val="2"/>
                <c:pt idx="0">
                  <c:v>Delay</c:v>
                </c:pt>
                <c:pt idx="1">
                  <c:v>Ontime</c:v>
                </c:pt>
              </c:strCache>
            </c:strRef>
          </c:cat>
          <c:val>
            <c:numRef>
              <c:f>KPI!$B$85:$B$87</c:f>
              <c:numCache>
                <c:formatCode>0</c:formatCode>
                <c:ptCount val="2"/>
                <c:pt idx="0">
                  <c:v>283</c:v>
                </c:pt>
                <c:pt idx="1">
                  <c:v>148</c:v>
                </c:pt>
              </c:numCache>
            </c:numRef>
          </c:val>
          <c:extLst>
            <c:ext xmlns:c16="http://schemas.microsoft.com/office/drawing/2014/chart" uri="{C3380CC4-5D6E-409C-BE32-E72D297353CC}">
              <c16:uniqueId val="{00000003-6FDB-425C-BB66-C785DC4FF0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KPI!$B$96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KPI!$A$97:$A$99</c:f>
              <c:strCache>
                <c:ptCount val="2"/>
                <c:pt idx="0">
                  <c:v>Female</c:v>
                </c:pt>
                <c:pt idx="1">
                  <c:v>Male</c:v>
                </c:pt>
              </c:strCache>
            </c:strRef>
          </c:cat>
          <c:val>
            <c:numRef>
              <c:f>KPI!$B$97:$B$99</c:f>
              <c:numCache>
                <c:formatCode>0</c:formatCode>
                <c:ptCount val="2"/>
                <c:pt idx="0">
                  <c:v>194</c:v>
                </c:pt>
                <c:pt idx="1">
                  <c:v>237</c:v>
                </c:pt>
              </c:numCache>
            </c:numRef>
          </c:val>
          <c:extLst>
            <c:ext xmlns:c16="http://schemas.microsoft.com/office/drawing/2014/chart" uri="{C3380CC4-5D6E-409C-BE32-E72D297353CC}">
              <c16:uniqueId val="{00000002-435E-4033-B487-14FC5663C57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KPI!$A$109:$A$117</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KPI!$B$109:$B$117</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3-8BDC-490F-B1B5-1CB9301BB795}"/>
            </c:ext>
          </c:extLst>
        </c:ser>
        <c:dLbls>
          <c:dLblPos val="outEnd"/>
          <c:showLegendKey val="0"/>
          <c:showVal val="1"/>
          <c:showCatName val="0"/>
          <c:showSerName val="0"/>
          <c:showPercent val="0"/>
          <c:showBubbleSize val="0"/>
        </c:dLbls>
        <c:gapWidth val="150"/>
        <c:axId val="485575247"/>
        <c:axId val="485574415"/>
      </c:barChart>
      <c:catAx>
        <c:axId val="48557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85574415"/>
        <c:crosses val="autoZero"/>
        <c:auto val="1"/>
        <c:lblAlgn val="ctr"/>
        <c:lblOffset val="100"/>
        <c:noMultiLvlLbl val="0"/>
      </c:catAx>
      <c:valAx>
        <c:axId val="485574415"/>
        <c:scaling>
          <c:orientation val="minMax"/>
        </c:scaling>
        <c:delete val="1"/>
        <c:axPos val="b"/>
        <c:numFmt formatCode="0" sourceLinked="1"/>
        <c:majorTickMark val="none"/>
        <c:minorTickMark val="none"/>
        <c:tickLblPos val="nextTo"/>
        <c:crossAx val="48557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[Dashboard.xlsx]KPI!PivotTable7</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KPI!$O$5:$O$33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KPI!$P$5:$P$33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1-C4C3-4F1E-B13F-08933C8EF00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60556752"/>
        <c:axId val="1260557168"/>
      </c:areaChart>
      <c:catAx>
        <c:axId val="12605567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0557168"/>
        <c:crosses val="autoZero"/>
        <c:auto val="1"/>
        <c:lblAlgn val="ctr"/>
        <c:lblOffset val="100"/>
        <c:noMultiLvlLbl val="0"/>
      </c:catAx>
      <c:valAx>
        <c:axId val="1260557168"/>
        <c:scaling>
          <c:orientation val="minMax"/>
        </c:scaling>
        <c:delete val="1"/>
        <c:axPos val="l"/>
        <c:numFmt formatCode="0.00" sourceLinked="1"/>
        <c:majorTickMark val="out"/>
        <c:minorTickMark val="none"/>
        <c:tickLblPos val="nextTo"/>
        <c:crossAx val="12605567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1692913385827E-2"/>
          <c:y val="5.0925925925925923E-2"/>
          <c:w val="0.89343985126859138"/>
          <c:h val="0.77870662000583257"/>
        </c:manualLayout>
      </c:layout>
      <c:areaChart>
        <c:grouping val="standard"/>
        <c:varyColors val="0"/>
        <c:ser>
          <c:idx val="0"/>
          <c:order val="0"/>
          <c:tx>
            <c:strRef>
              <c:f>KPI!$J$4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KPI!$I$5:$I$34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KPI!$J$5:$J$34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1-F1EF-434C-AA38-3F3DAD3CF1C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59264576"/>
        <c:axId val="1259269152"/>
      </c:areaChart>
      <c:catAx>
        <c:axId val="12592645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59269152"/>
        <c:crosses val="autoZero"/>
        <c:auto val="1"/>
        <c:lblAlgn val="ctr"/>
        <c:lblOffset val="100"/>
        <c:noMultiLvlLbl val="0"/>
      </c:catAx>
      <c:valAx>
        <c:axId val="1259269152"/>
        <c:scaling>
          <c:orientation val="minMax"/>
        </c:scaling>
        <c:delete val="1"/>
        <c:axPos val="l"/>
        <c:numFmt formatCode="0.00" sourceLinked="1"/>
        <c:majorTickMark val="out"/>
        <c:minorTickMark val="none"/>
        <c:tickLblPos val="nextTo"/>
        <c:crossAx val="12592645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7391304347826E-2"/>
          <c:y val="3.3333333333333333E-2"/>
          <c:w val="0.92753623188405798"/>
          <c:h val="0.74554435695538057"/>
        </c:manualLayout>
      </c:layout>
      <c:areaChart>
        <c:grouping val="standard"/>
        <c:varyColors val="0"/>
        <c:ser>
          <c:idx val="0"/>
          <c:order val="0"/>
          <c:tx>
            <c:strRef>
              <c:f>KPI!$E$5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KPI!$D$6:$D$35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KPI!$E$6:$E$35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65C4-4E87-BA76-51E25B7A9FA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6142864"/>
        <c:axId val="526139952"/>
      </c:areaChart>
      <c:catAx>
        <c:axId val="526142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6139952"/>
        <c:crosses val="autoZero"/>
        <c:auto val="1"/>
        <c:lblAlgn val="ctr"/>
        <c:lblOffset val="100"/>
        <c:noMultiLvlLbl val="0"/>
      </c:catAx>
      <c:valAx>
        <c:axId val="526139952"/>
        <c:scaling>
          <c:orientation val="minMax"/>
        </c:scaling>
        <c:delete val="1"/>
        <c:axPos val="l"/>
        <c:numFmt formatCode="General" sourceLinked="1"/>
        <c:majorTickMark val="out"/>
        <c:minorTickMark val="none"/>
        <c:tickLblPos val="nextTo"/>
        <c:crossAx val="526142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7391304347826E-2"/>
          <c:y val="3.3333333333333333E-2"/>
          <c:w val="0.92753623188405798"/>
          <c:h val="0.74554435695538057"/>
        </c:manualLayout>
      </c:layout>
      <c:areaChart>
        <c:grouping val="standard"/>
        <c:varyColors val="0"/>
        <c:ser>
          <c:idx val="0"/>
          <c:order val="0"/>
          <c:tx>
            <c:strRef>
              <c:f>KPI!$E$5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KPI!$D$6:$D$35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KPI!$E$6:$E$35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058A-4827-8A31-C00FA3D0A31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6142864"/>
        <c:axId val="526139952"/>
      </c:areaChart>
      <c:catAx>
        <c:axId val="526142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6139952"/>
        <c:crosses val="autoZero"/>
        <c:auto val="1"/>
        <c:lblAlgn val="ctr"/>
        <c:lblOffset val="100"/>
        <c:noMultiLvlLbl val="0"/>
      </c:catAx>
      <c:valAx>
        <c:axId val="526139952"/>
        <c:scaling>
          <c:orientation val="minMax"/>
        </c:scaling>
        <c:delete val="1"/>
        <c:axPos val="l"/>
        <c:numFmt formatCode="General" sourceLinked="1"/>
        <c:majorTickMark val="out"/>
        <c:minorTickMark val="none"/>
        <c:tickLblPos val="nextTo"/>
        <c:crossAx val="526142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No. of Patient (Daily)'!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Wait Time (Daily Variation)'!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8.xml"/><Relationship Id="rId5" Type="http://schemas.openxmlformats.org/officeDocument/2006/relationships/chart" Target="../charts/chart19.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61913</xdr:colOff>
      <xdr:row>0</xdr:row>
      <xdr:rowOff>33338</xdr:rowOff>
    </xdr:from>
    <xdr:to>
      <xdr:col>6</xdr:col>
      <xdr:colOff>298173</xdr:colOff>
      <xdr:row>2</xdr:row>
      <xdr:rowOff>61913</xdr:rowOff>
    </xdr:to>
    <xdr:sp macro="" textlink="">
      <xdr:nvSpPr>
        <xdr:cNvPr id="2" name="Rectangle: Rounded Corners 1">
          <a:extLst>
            <a:ext uri="{FF2B5EF4-FFF2-40B4-BE49-F238E27FC236}">
              <a16:creationId xmlns:a16="http://schemas.microsoft.com/office/drawing/2014/main" id="{5C7AF19E-C223-4EF0-9404-66E4F9874B27}"/>
            </a:ext>
          </a:extLst>
        </xdr:cNvPr>
        <xdr:cNvSpPr/>
      </xdr:nvSpPr>
      <xdr:spPr>
        <a:xfrm>
          <a:off x="61913" y="33338"/>
          <a:ext cx="3921244" cy="39766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377686</xdr:colOff>
      <xdr:row>0</xdr:row>
      <xdr:rowOff>33338</xdr:rowOff>
    </xdr:from>
    <xdr:to>
      <xdr:col>8</xdr:col>
      <xdr:colOff>491629</xdr:colOff>
      <xdr:row>2</xdr:row>
      <xdr:rowOff>61913</xdr:rowOff>
    </xdr:to>
    <xdr:sp macro="" textlink="">
      <xdr:nvSpPr>
        <xdr:cNvPr id="3" name="Rectangle: Rounded Corners 2">
          <a:extLst>
            <a:ext uri="{FF2B5EF4-FFF2-40B4-BE49-F238E27FC236}">
              <a16:creationId xmlns:a16="http://schemas.microsoft.com/office/drawing/2014/main" id="{F358CAA9-55A7-4D0F-85A3-49B81D01D71C}"/>
            </a:ext>
          </a:extLst>
        </xdr:cNvPr>
        <xdr:cNvSpPr/>
      </xdr:nvSpPr>
      <xdr:spPr>
        <a:xfrm>
          <a:off x="4075043" y="33338"/>
          <a:ext cx="1333143" cy="39963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9796</xdr:colOff>
      <xdr:row>0</xdr:row>
      <xdr:rowOff>33338</xdr:rowOff>
    </xdr:from>
    <xdr:to>
      <xdr:col>10</xdr:col>
      <xdr:colOff>596664</xdr:colOff>
      <xdr:row>6</xdr:row>
      <xdr:rowOff>14288</xdr:rowOff>
    </xdr:to>
    <xdr:sp macro="" textlink="">
      <xdr:nvSpPr>
        <xdr:cNvPr id="5" name="Rectangle: Rounded Corners 4">
          <a:extLst>
            <a:ext uri="{FF2B5EF4-FFF2-40B4-BE49-F238E27FC236}">
              <a16:creationId xmlns:a16="http://schemas.microsoft.com/office/drawing/2014/main" id="{3852A94A-7409-4980-B8B3-0A2C7E36CFF6}"/>
            </a:ext>
          </a:extLst>
        </xdr:cNvPr>
        <xdr:cNvSpPr/>
      </xdr:nvSpPr>
      <xdr:spPr>
        <a:xfrm>
          <a:off x="5534025" y="33338"/>
          <a:ext cx="1195388" cy="10668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89566</xdr:colOff>
      <xdr:row>0</xdr:row>
      <xdr:rowOff>28576</xdr:rowOff>
    </xdr:from>
    <xdr:to>
      <xdr:col>13</xdr:col>
      <xdr:colOff>118141</xdr:colOff>
      <xdr:row>6</xdr:row>
      <xdr:rowOff>14288</xdr:rowOff>
    </xdr:to>
    <xdr:sp macro="" textlink="">
      <xdr:nvSpPr>
        <xdr:cNvPr id="6" name="Rectangle: Rounded Corners 5">
          <a:extLst>
            <a:ext uri="{FF2B5EF4-FFF2-40B4-BE49-F238E27FC236}">
              <a16:creationId xmlns:a16="http://schemas.microsoft.com/office/drawing/2014/main" id="{6A4DC6B5-4940-42EB-AECF-8FE8A8D07948}"/>
            </a:ext>
          </a:extLst>
        </xdr:cNvPr>
        <xdr:cNvSpPr/>
      </xdr:nvSpPr>
      <xdr:spPr>
        <a:xfrm>
          <a:off x="6810644" y="28576"/>
          <a:ext cx="1243013" cy="109299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61913</xdr:colOff>
      <xdr:row>2</xdr:row>
      <xdr:rowOff>141343</xdr:rowOff>
    </xdr:from>
    <xdr:to>
      <xdr:col>1</xdr:col>
      <xdr:colOff>290513</xdr:colOff>
      <xdr:row>16</xdr:row>
      <xdr:rowOff>87586</xdr:rowOff>
    </xdr:to>
    <xdr:sp macro="" textlink="">
      <xdr:nvSpPr>
        <xdr:cNvPr id="7" name="Rectangle: Rounded Corners 6">
          <a:extLst>
            <a:ext uri="{FF2B5EF4-FFF2-40B4-BE49-F238E27FC236}">
              <a16:creationId xmlns:a16="http://schemas.microsoft.com/office/drawing/2014/main" id="{D4468924-B2D6-47D0-B371-823F09F3C48E}"/>
            </a:ext>
          </a:extLst>
        </xdr:cNvPr>
        <xdr:cNvSpPr/>
      </xdr:nvSpPr>
      <xdr:spPr>
        <a:xfrm>
          <a:off x="61913" y="509205"/>
          <a:ext cx="841703" cy="252127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347660</xdr:colOff>
      <xdr:row>2</xdr:row>
      <xdr:rowOff>102002</xdr:rowOff>
    </xdr:from>
    <xdr:to>
      <xdr:col>8</xdr:col>
      <xdr:colOff>547959</xdr:colOff>
      <xdr:row>16</xdr:row>
      <xdr:rowOff>84005</xdr:rowOff>
    </xdr:to>
    <xdr:grpSp>
      <xdr:nvGrpSpPr>
        <xdr:cNvPr id="11" name="Group 10">
          <a:extLst>
            <a:ext uri="{FF2B5EF4-FFF2-40B4-BE49-F238E27FC236}">
              <a16:creationId xmlns:a16="http://schemas.microsoft.com/office/drawing/2014/main" id="{7485377A-4C96-4F36-800D-A020007CAE87}"/>
            </a:ext>
          </a:extLst>
        </xdr:cNvPr>
        <xdr:cNvGrpSpPr/>
      </xdr:nvGrpSpPr>
      <xdr:grpSpPr>
        <a:xfrm>
          <a:off x="954879" y="471096"/>
          <a:ext cx="4492502" cy="2565659"/>
          <a:chOff x="957261" y="467622"/>
          <a:chExt cx="2714970" cy="2466084"/>
        </a:xfrm>
        <a:solidFill>
          <a:schemeClr val="bg1"/>
        </a:solidFill>
      </xdr:grpSpPr>
      <xdr:sp macro="" textlink="">
        <xdr:nvSpPr>
          <xdr:cNvPr id="8" name="Rectangle: Rounded Corners 7">
            <a:extLst>
              <a:ext uri="{FF2B5EF4-FFF2-40B4-BE49-F238E27FC236}">
                <a16:creationId xmlns:a16="http://schemas.microsoft.com/office/drawing/2014/main" id="{9AE4AB51-3B9F-4931-A20A-F0217D66BB15}"/>
              </a:ext>
            </a:extLst>
          </xdr:cNvPr>
          <xdr:cNvSpPr/>
        </xdr:nvSpPr>
        <xdr:spPr>
          <a:xfrm>
            <a:off x="962206" y="467622"/>
            <a:ext cx="909686" cy="738188"/>
          </a:xfrm>
          <a:prstGeom prst="roundRect">
            <a:avLst>
              <a:gd name="adj" fmla="val 9238"/>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643D224-5630-4AE3-8A3D-62B0630977A7}"/>
              </a:ext>
            </a:extLst>
          </xdr:cNvPr>
          <xdr:cNvSpPr/>
        </xdr:nvSpPr>
        <xdr:spPr>
          <a:xfrm>
            <a:off x="1941586" y="467622"/>
            <a:ext cx="840961" cy="738188"/>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84E9317-01F6-4D4D-9999-8D6B724495FF}"/>
              </a:ext>
            </a:extLst>
          </xdr:cNvPr>
          <xdr:cNvSpPr/>
        </xdr:nvSpPr>
        <xdr:spPr>
          <a:xfrm>
            <a:off x="2842816" y="467622"/>
            <a:ext cx="809324" cy="738188"/>
          </a:xfrm>
          <a:prstGeom prst="roundRect">
            <a:avLst>
              <a:gd name="adj" fmla="val 8495"/>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5FD95BEE-AFD6-47C7-AEB6-3CE167168350}"/>
              </a:ext>
            </a:extLst>
          </xdr:cNvPr>
          <xdr:cNvSpPr/>
        </xdr:nvSpPr>
        <xdr:spPr>
          <a:xfrm>
            <a:off x="957261" y="1281117"/>
            <a:ext cx="2709228" cy="547683"/>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8F602B89-86E9-4BCB-A592-F974BD1A0D4D}"/>
              </a:ext>
            </a:extLst>
          </xdr:cNvPr>
          <xdr:cNvSpPr/>
        </xdr:nvSpPr>
        <xdr:spPr>
          <a:xfrm>
            <a:off x="957263" y="1909763"/>
            <a:ext cx="2714968" cy="1023943"/>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9</xdr:col>
      <xdr:colOff>27178</xdr:colOff>
      <xdr:row>6</xdr:row>
      <xdr:rowOff>73596</xdr:rowOff>
    </xdr:from>
    <xdr:to>
      <xdr:col>13</xdr:col>
      <xdr:colOff>144588</xdr:colOff>
      <xdr:row>16</xdr:row>
      <xdr:rowOff>35496</xdr:rowOff>
    </xdr:to>
    <xdr:sp macro="" textlink="">
      <xdr:nvSpPr>
        <xdr:cNvPr id="14" name="Rectangle: Rounded Corners 13">
          <a:extLst>
            <a:ext uri="{FF2B5EF4-FFF2-40B4-BE49-F238E27FC236}">
              <a16:creationId xmlns:a16="http://schemas.microsoft.com/office/drawing/2014/main" id="{99C88511-4617-420B-927C-A7B08B4E3F03}"/>
            </a:ext>
          </a:extLst>
        </xdr:cNvPr>
        <xdr:cNvSpPr/>
      </xdr:nvSpPr>
      <xdr:spPr>
        <a:xfrm>
          <a:off x="5553335" y="1186779"/>
          <a:ext cx="2555810" cy="181720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540427</xdr:colOff>
      <xdr:row>0</xdr:row>
      <xdr:rowOff>54041</xdr:rowOff>
    </xdr:from>
    <xdr:to>
      <xdr:col>5</xdr:col>
      <xdr:colOff>86469</xdr:colOff>
      <xdr:row>1</xdr:row>
      <xdr:rowOff>140509</xdr:rowOff>
    </xdr:to>
    <xdr:sp macro="" textlink="">
      <xdr:nvSpPr>
        <xdr:cNvPr id="15" name="TextBox 14">
          <a:extLst>
            <a:ext uri="{FF2B5EF4-FFF2-40B4-BE49-F238E27FC236}">
              <a16:creationId xmlns:a16="http://schemas.microsoft.com/office/drawing/2014/main" id="{797F45B1-6E3F-4C1E-8AA6-DA5A429C4B13}"/>
            </a:ext>
          </a:extLst>
        </xdr:cNvPr>
        <xdr:cNvSpPr txBox="1"/>
      </xdr:nvSpPr>
      <xdr:spPr>
        <a:xfrm>
          <a:off x="540427" y="54041"/>
          <a:ext cx="2637276" cy="270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latin typeface="Arial Black" panose="020B0A04020102020204" pitchFamily="34" charset="0"/>
            </a:rPr>
            <a:t>Hospital</a:t>
          </a:r>
          <a:r>
            <a:rPr lang="en-IN" sz="1000" baseline="0">
              <a:latin typeface="Arial Black" panose="020B0A04020102020204" pitchFamily="34" charset="0"/>
            </a:rPr>
            <a:t> Emergency Room Dashboard</a:t>
          </a:r>
          <a:endParaRPr lang="en-IN" sz="1000">
            <a:latin typeface="Arial Black" panose="020B0A04020102020204" pitchFamily="34" charset="0"/>
          </a:endParaRPr>
        </a:p>
      </xdr:txBody>
    </xdr:sp>
    <xdr:clientData/>
  </xdr:twoCellAnchor>
  <xdr:twoCellAnchor editAs="oneCell">
    <xdr:from>
      <xdr:col>0</xdr:col>
      <xdr:colOff>54044</xdr:colOff>
      <xdr:row>0</xdr:row>
      <xdr:rowOff>10811</xdr:rowOff>
    </xdr:from>
    <xdr:to>
      <xdr:col>0</xdr:col>
      <xdr:colOff>497193</xdr:colOff>
      <xdr:row>2</xdr:row>
      <xdr:rowOff>103512</xdr:rowOff>
    </xdr:to>
    <xdr:pic>
      <xdr:nvPicPr>
        <xdr:cNvPr id="17" name="Picture 16">
          <a:extLst>
            <a:ext uri="{FF2B5EF4-FFF2-40B4-BE49-F238E27FC236}">
              <a16:creationId xmlns:a16="http://schemas.microsoft.com/office/drawing/2014/main" id="{C9A85B04-C87C-4690-88E4-5E15A5B3B28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53" r="15379"/>
        <a:stretch/>
      </xdr:blipFill>
      <xdr:spPr>
        <a:xfrm>
          <a:off x="54044" y="10811"/>
          <a:ext cx="443149" cy="460190"/>
        </a:xfrm>
        <a:prstGeom prst="rect">
          <a:avLst/>
        </a:prstGeom>
      </xdr:spPr>
    </xdr:pic>
    <xdr:clientData/>
  </xdr:twoCellAnchor>
  <xdr:twoCellAnchor editAs="absolute">
    <xdr:from>
      <xdr:col>2</xdr:col>
      <xdr:colOff>157807</xdr:colOff>
      <xdr:row>1</xdr:row>
      <xdr:rowOff>22696</xdr:rowOff>
    </xdr:from>
    <xdr:to>
      <xdr:col>3</xdr:col>
      <xdr:colOff>491788</xdr:colOff>
      <xdr:row>2</xdr:row>
      <xdr:rowOff>109165</xdr:rowOff>
    </xdr:to>
    <xdr:sp macro="" textlink="">
      <xdr:nvSpPr>
        <xdr:cNvPr id="18" name="TextBox 17">
          <a:extLst>
            <a:ext uri="{FF2B5EF4-FFF2-40B4-BE49-F238E27FC236}">
              <a16:creationId xmlns:a16="http://schemas.microsoft.com/office/drawing/2014/main" id="{94EF2655-438B-42F3-B50C-0E29B8ED59E4}"/>
            </a:ext>
          </a:extLst>
        </xdr:cNvPr>
        <xdr:cNvSpPr txBox="1"/>
      </xdr:nvSpPr>
      <xdr:spPr>
        <a:xfrm>
          <a:off x="1379169" y="206441"/>
          <a:ext cx="944662" cy="270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latin typeface="+mn-lt"/>
            </a:rPr>
            <a:t>Monthly Report</a:t>
          </a:r>
        </a:p>
      </xdr:txBody>
    </xdr:sp>
    <xdr:clientData/>
  </xdr:twoCellAnchor>
  <xdr:twoCellAnchor editAs="absolute">
    <xdr:from>
      <xdr:col>2</xdr:col>
      <xdr:colOff>310206</xdr:colOff>
      <xdr:row>2</xdr:row>
      <xdr:rowOff>165369</xdr:rowOff>
    </xdr:from>
    <xdr:to>
      <xdr:col>3</xdr:col>
      <xdr:colOff>113489</xdr:colOff>
      <xdr:row>4</xdr:row>
      <xdr:rowOff>141590</xdr:rowOff>
    </xdr:to>
    <xdr:sp macro="" textlink="KPI!C2">
      <xdr:nvSpPr>
        <xdr:cNvPr id="19" name="TextBox 18">
          <a:extLst>
            <a:ext uri="{FF2B5EF4-FFF2-40B4-BE49-F238E27FC236}">
              <a16:creationId xmlns:a16="http://schemas.microsoft.com/office/drawing/2014/main" id="{E16DFB2B-757E-4071-9CD1-91B2FB1E9977}"/>
            </a:ext>
          </a:extLst>
        </xdr:cNvPr>
        <xdr:cNvSpPr txBox="1"/>
      </xdr:nvSpPr>
      <xdr:spPr>
        <a:xfrm>
          <a:off x="1531568" y="532858"/>
          <a:ext cx="413964" cy="343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68080D8-3B66-4F63-A314-CA9F06DE7E57}" type="TxLink">
            <a:rPr lang="en-US" sz="1100" b="1" i="0" u="none" strike="noStrike">
              <a:solidFill>
                <a:srgbClr val="000000"/>
              </a:solidFill>
              <a:latin typeface="Calibri"/>
              <a:ea typeface="Calibri"/>
              <a:cs typeface="Calibri"/>
            </a:rPr>
            <a:pPr algn="ctr"/>
            <a:t>431</a:t>
          </a:fld>
          <a:endParaRPr lang="en-IN" sz="1000" b="1">
            <a:latin typeface="+mn-lt"/>
          </a:endParaRPr>
        </a:p>
      </xdr:txBody>
    </xdr:sp>
    <xdr:clientData/>
  </xdr:twoCellAnchor>
  <xdr:twoCellAnchor editAs="absolute">
    <xdr:from>
      <xdr:col>4</xdr:col>
      <xdr:colOff>586903</xdr:colOff>
      <xdr:row>2</xdr:row>
      <xdr:rowOff>165369</xdr:rowOff>
    </xdr:from>
    <xdr:to>
      <xdr:col>5</xdr:col>
      <xdr:colOff>443149</xdr:colOff>
      <xdr:row>4</xdr:row>
      <xdr:rowOff>141590</xdr:rowOff>
    </xdr:to>
    <xdr:sp macro="" textlink="KPI!C7">
      <xdr:nvSpPr>
        <xdr:cNvPr id="20" name="TextBox 19">
          <a:extLst>
            <a:ext uri="{FF2B5EF4-FFF2-40B4-BE49-F238E27FC236}">
              <a16:creationId xmlns:a16="http://schemas.microsoft.com/office/drawing/2014/main" id="{E3EE6C7E-FA70-48BB-8710-A0EA31905A42}"/>
            </a:ext>
          </a:extLst>
        </xdr:cNvPr>
        <xdr:cNvSpPr txBox="1"/>
      </xdr:nvSpPr>
      <xdr:spPr>
        <a:xfrm>
          <a:off x="3067456" y="532858"/>
          <a:ext cx="466927" cy="343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7EC5324-CAA4-4458-971F-F0F456250E27}" type="TxLink">
            <a:rPr lang="en-US" sz="1100" b="1" i="0" u="none" strike="noStrike">
              <a:solidFill>
                <a:srgbClr val="000000"/>
              </a:solidFill>
              <a:latin typeface="Calibri"/>
              <a:ea typeface="Calibri"/>
              <a:cs typeface="Calibri"/>
            </a:rPr>
            <a:pPr algn="ctr"/>
            <a:t>36.67</a:t>
          </a:fld>
          <a:endParaRPr lang="en-IN" sz="1000" b="1">
            <a:latin typeface="+mn-lt"/>
          </a:endParaRPr>
        </a:p>
      </xdr:txBody>
    </xdr:sp>
    <xdr:clientData/>
  </xdr:twoCellAnchor>
  <xdr:twoCellAnchor editAs="absolute">
    <xdr:from>
      <xdr:col>7</xdr:col>
      <xdr:colOff>112408</xdr:colOff>
      <xdr:row>2</xdr:row>
      <xdr:rowOff>165369</xdr:rowOff>
    </xdr:from>
    <xdr:to>
      <xdr:col>8</xdr:col>
      <xdr:colOff>102678</xdr:colOff>
      <xdr:row>4</xdr:row>
      <xdr:rowOff>141590</xdr:rowOff>
    </xdr:to>
    <xdr:sp macro="" textlink="KPI!C11">
      <xdr:nvSpPr>
        <xdr:cNvPr id="21" name="TextBox 20">
          <a:extLst>
            <a:ext uri="{FF2B5EF4-FFF2-40B4-BE49-F238E27FC236}">
              <a16:creationId xmlns:a16="http://schemas.microsoft.com/office/drawing/2014/main" id="{3A27EFD2-8114-4E4F-AF97-E6E8E7B22426}"/>
            </a:ext>
          </a:extLst>
        </xdr:cNvPr>
        <xdr:cNvSpPr txBox="1"/>
      </xdr:nvSpPr>
      <xdr:spPr>
        <a:xfrm>
          <a:off x="4425004" y="532858"/>
          <a:ext cx="600951" cy="343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87398EF-FF33-4599-9D99-070EF6C2CA75}" type="TxLink">
            <a:rPr lang="en-US" sz="1100" b="1" i="0" u="none" strike="noStrike">
              <a:solidFill>
                <a:srgbClr val="000000"/>
              </a:solidFill>
              <a:latin typeface="Calibri"/>
              <a:ea typeface="Calibri"/>
              <a:cs typeface="Calibri"/>
            </a:rPr>
            <a:pPr algn="ctr"/>
            <a:t>4.72</a:t>
          </a:fld>
          <a:endParaRPr lang="en-IN" sz="1000" b="1">
            <a:latin typeface="+mn-lt"/>
          </a:endParaRPr>
        </a:p>
      </xdr:txBody>
    </xdr:sp>
    <xdr:clientData/>
  </xdr:twoCellAnchor>
  <xdr:twoCellAnchor editAs="absolute">
    <xdr:from>
      <xdr:col>2</xdr:col>
      <xdr:colOff>94038</xdr:colOff>
      <xdr:row>4</xdr:row>
      <xdr:rowOff>70793</xdr:rowOff>
    </xdr:from>
    <xdr:to>
      <xdr:col>3</xdr:col>
      <xdr:colOff>428019</xdr:colOff>
      <xdr:row>5</xdr:row>
      <xdr:rowOff>157262</xdr:rowOff>
    </xdr:to>
    <xdr:sp macro="" textlink="">
      <xdr:nvSpPr>
        <xdr:cNvPr id="22" name="TextBox 21">
          <a:extLst>
            <a:ext uri="{FF2B5EF4-FFF2-40B4-BE49-F238E27FC236}">
              <a16:creationId xmlns:a16="http://schemas.microsoft.com/office/drawing/2014/main" id="{81ED4164-DE28-43CB-A576-6B787B80A869}"/>
            </a:ext>
          </a:extLst>
        </xdr:cNvPr>
        <xdr:cNvSpPr txBox="1"/>
      </xdr:nvSpPr>
      <xdr:spPr>
        <a:xfrm>
          <a:off x="1315400" y="805772"/>
          <a:ext cx="944662" cy="270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latin typeface="+mn-lt"/>
            </a:rPr>
            <a:t>No.</a:t>
          </a:r>
          <a:r>
            <a:rPr lang="en-IN" sz="1000" b="1" baseline="0">
              <a:latin typeface="+mn-lt"/>
            </a:rPr>
            <a:t> of Patients</a:t>
          </a:r>
          <a:endParaRPr lang="en-IN" sz="1000" b="1">
            <a:latin typeface="+mn-lt"/>
          </a:endParaRPr>
        </a:p>
      </xdr:txBody>
    </xdr:sp>
    <xdr:clientData/>
  </xdr:twoCellAnchor>
  <xdr:twoCellAnchor editAs="absolute">
    <xdr:from>
      <xdr:col>4</xdr:col>
      <xdr:colOff>394511</xdr:colOff>
      <xdr:row>4</xdr:row>
      <xdr:rowOff>70793</xdr:rowOff>
    </xdr:from>
    <xdr:to>
      <xdr:col>6</xdr:col>
      <xdr:colOff>91873</xdr:colOff>
      <xdr:row>5</xdr:row>
      <xdr:rowOff>157262</xdr:rowOff>
    </xdr:to>
    <xdr:sp macro="" textlink="">
      <xdr:nvSpPr>
        <xdr:cNvPr id="23" name="TextBox 22">
          <a:extLst>
            <a:ext uri="{FF2B5EF4-FFF2-40B4-BE49-F238E27FC236}">
              <a16:creationId xmlns:a16="http://schemas.microsoft.com/office/drawing/2014/main" id="{BD3A166A-4BC1-4834-B0C8-01EE66754067}"/>
            </a:ext>
          </a:extLst>
        </xdr:cNvPr>
        <xdr:cNvSpPr txBox="1"/>
      </xdr:nvSpPr>
      <xdr:spPr>
        <a:xfrm>
          <a:off x="2875064" y="805772"/>
          <a:ext cx="918724" cy="270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latin typeface="+mn-lt"/>
            </a:rPr>
            <a:t>Avg.</a:t>
          </a:r>
          <a:r>
            <a:rPr lang="en-IN" sz="1000" b="1" baseline="0">
              <a:latin typeface="+mn-lt"/>
            </a:rPr>
            <a:t> Wait time</a:t>
          </a:r>
          <a:endParaRPr lang="en-IN" sz="1000" b="1">
            <a:latin typeface="+mn-lt"/>
          </a:endParaRPr>
        </a:p>
      </xdr:txBody>
    </xdr:sp>
    <xdr:clientData/>
  </xdr:twoCellAnchor>
  <xdr:twoCellAnchor editAs="absolute">
    <xdr:from>
      <xdr:col>7</xdr:col>
      <xdr:colOff>10807</xdr:colOff>
      <xdr:row>4</xdr:row>
      <xdr:rowOff>70793</xdr:rowOff>
    </xdr:from>
    <xdr:to>
      <xdr:col>8</xdr:col>
      <xdr:colOff>383702</xdr:colOff>
      <xdr:row>5</xdr:row>
      <xdr:rowOff>157262</xdr:rowOff>
    </xdr:to>
    <xdr:sp macro="" textlink="">
      <xdr:nvSpPr>
        <xdr:cNvPr id="24" name="TextBox 23">
          <a:extLst>
            <a:ext uri="{FF2B5EF4-FFF2-40B4-BE49-F238E27FC236}">
              <a16:creationId xmlns:a16="http://schemas.microsoft.com/office/drawing/2014/main" id="{85BC8473-0655-4222-B490-73B544A7DF02}"/>
            </a:ext>
          </a:extLst>
        </xdr:cNvPr>
        <xdr:cNvSpPr txBox="1"/>
      </xdr:nvSpPr>
      <xdr:spPr>
        <a:xfrm>
          <a:off x="4323403" y="805772"/>
          <a:ext cx="983576" cy="270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latin typeface="+mn-lt"/>
            </a:rPr>
            <a:t>Satisfaction Score</a:t>
          </a:r>
        </a:p>
      </xdr:txBody>
    </xdr:sp>
    <xdr:clientData/>
  </xdr:twoCellAnchor>
  <xdr:twoCellAnchor editAs="oneCell">
    <xdr:from>
      <xdr:col>8</xdr:col>
      <xdr:colOff>226976</xdr:colOff>
      <xdr:row>2</xdr:row>
      <xdr:rowOff>147959</xdr:rowOff>
    </xdr:from>
    <xdr:to>
      <xdr:col>8</xdr:col>
      <xdr:colOff>440702</xdr:colOff>
      <xdr:row>3</xdr:row>
      <xdr:rowOff>180214</xdr:rowOff>
    </xdr:to>
    <xdr:pic>
      <xdr:nvPicPr>
        <xdr:cNvPr id="26" name="Graphic 25" descr="Customer review with solid fill">
          <a:extLst>
            <a:ext uri="{FF2B5EF4-FFF2-40B4-BE49-F238E27FC236}">
              <a16:creationId xmlns:a16="http://schemas.microsoft.com/office/drawing/2014/main" id="{1EFA1F24-C94E-40DA-9154-5C6400FC85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150253" y="515448"/>
          <a:ext cx="213726" cy="216000"/>
        </a:xfrm>
        <a:prstGeom prst="rect">
          <a:avLst/>
        </a:prstGeom>
      </xdr:spPr>
    </xdr:pic>
    <xdr:clientData/>
  </xdr:twoCellAnchor>
  <xdr:twoCellAnchor editAs="oneCell">
    <xdr:from>
      <xdr:col>6</xdr:col>
      <xdr:colOff>25700</xdr:colOff>
      <xdr:row>2</xdr:row>
      <xdr:rowOff>147959</xdr:rowOff>
    </xdr:from>
    <xdr:to>
      <xdr:col>6</xdr:col>
      <xdr:colOff>241700</xdr:colOff>
      <xdr:row>3</xdr:row>
      <xdr:rowOff>180214</xdr:rowOff>
    </xdr:to>
    <xdr:pic>
      <xdr:nvPicPr>
        <xdr:cNvPr id="28" name="Graphic 27" descr="Hourglass Finished with solid fill">
          <a:extLst>
            <a:ext uri="{FF2B5EF4-FFF2-40B4-BE49-F238E27FC236}">
              <a16:creationId xmlns:a16="http://schemas.microsoft.com/office/drawing/2014/main" id="{6FE724F1-37BA-4E7B-AFB9-FAF89E62A6D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727615" y="515448"/>
          <a:ext cx="216000" cy="216000"/>
        </a:xfrm>
        <a:prstGeom prst="rect">
          <a:avLst/>
        </a:prstGeom>
      </xdr:spPr>
    </xdr:pic>
    <xdr:clientData/>
  </xdr:twoCellAnchor>
  <xdr:twoCellAnchor editAs="oneCell">
    <xdr:from>
      <xdr:col>3</xdr:col>
      <xdr:colOff>391872</xdr:colOff>
      <xdr:row>2</xdr:row>
      <xdr:rowOff>147959</xdr:rowOff>
    </xdr:from>
    <xdr:to>
      <xdr:col>3</xdr:col>
      <xdr:colOff>607872</xdr:colOff>
      <xdr:row>3</xdr:row>
      <xdr:rowOff>180214</xdr:rowOff>
    </xdr:to>
    <xdr:pic>
      <xdr:nvPicPr>
        <xdr:cNvPr id="30" name="Graphic 29" descr="Male profile with solid fill">
          <a:extLst>
            <a:ext uri="{FF2B5EF4-FFF2-40B4-BE49-F238E27FC236}">
              <a16:creationId xmlns:a16="http://schemas.microsoft.com/office/drawing/2014/main" id="{1FC1020C-B300-412A-9E46-5C9F0359923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23915" y="515448"/>
          <a:ext cx="216000" cy="216000"/>
        </a:xfrm>
        <a:prstGeom prst="rect">
          <a:avLst/>
        </a:prstGeom>
      </xdr:spPr>
    </xdr:pic>
    <xdr:clientData/>
  </xdr:twoCellAnchor>
  <xdr:twoCellAnchor>
    <xdr:from>
      <xdr:col>1</xdr:col>
      <xdr:colOff>343121</xdr:colOff>
      <xdr:row>3</xdr:row>
      <xdr:rowOff>34055</xdr:rowOff>
    </xdr:from>
    <xdr:to>
      <xdr:col>4</xdr:col>
      <xdr:colOff>4123</xdr:colOff>
      <xdr:row>7</xdr:row>
      <xdr:rowOff>5548</xdr:rowOff>
    </xdr:to>
    <xdr:graphicFrame macro="">
      <xdr:nvGraphicFramePr>
        <xdr:cNvPr id="33" name="Chart 32">
          <a:hlinkClick xmlns:r="http://schemas.openxmlformats.org/officeDocument/2006/relationships" r:id="rId8"/>
          <a:extLst>
            <a:ext uri="{FF2B5EF4-FFF2-40B4-BE49-F238E27FC236}">
              <a16:creationId xmlns:a16="http://schemas.microsoft.com/office/drawing/2014/main" id="{2169E853-A9CC-42D3-8815-D0F080107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4</xdr:col>
      <xdr:colOff>61577</xdr:colOff>
      <xdr:row>5</xdr:row>
      <xdr:rowOff>64844</xdr:rowOff>
    </xdr:from>
    <xdr:to>
      <xdr:col>6</xdr:col>
      <xdr:colOff>354061</xdr:colOff>
      <xdr:row>6</xdr:row>
      <xdr:rowOff>149510</xdr:rowOff>
    </xdr:to>
    <xdr:graphicFrame macro="">
      <xdr:nvGraphicFramePr>
        <xdr:cNvPr id="34" name="Chart 33">
          <a:hlinkClick xmlns:r="http://schemas.openxmlformats.org/officeDocument/2006/relationships" r:id="rId10"/>
          <a:extLst>
            <a:ext uri="{FF2B5EF4-FFF2-40B4-BE49-F238E27FC236}">
              <a16:creationId xmlns:a16="http://schemas.microsoft.com/office/drawing/2014/main" id="{A95325D0-FE32-4677-A796-0D8339E64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394152</xdr:colOff>
      <xdr:row>4</xdr:row>
      <xdr:rowOff>175424</xdr:rowOff>
    </xdr:from>
    <xdr:to>
      <xdr:col>8</xdr:col>
      <xdr:colOff>531755</xdr:colOff>
      <xdr:row>6</xdr:row>
      <xdr:rowOff>133893</xdr:rowOff>
    </xdr:to>
    <xdr:graphicFrame macro="">
      <xdr:nvGraphicFramePr>
        <xdr:cNvPr id="35" name="Chart 34">
          <a:hlinkClick xmlns:r="http://schemas.openxmlformats.org/officeDocument/2006/relationships" r:id="rId12"/>
          <a:extLst>
            <a:ext uri="{FF2B5EF4-FFF2-40B4-BE49-F238E27FC236}">
              <a16:creationId xmlns:a16="http://schemas.microsoft.com/office/drawing/2014/main" id="{FC39AFEE-98FE-4320-A225-14794B736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339885</xdr:colOff>
          <xdr:row>6</xdr:row>
          <xdr:rowOff>175424</xdr:rowOff>
        </xdr:from>
        <xdr:to>
          <xdr:col>8</xdr:col>
          <xdr:colOff>548201</xdr:colOff>
          <xdr:row>10</xdr:row>
          <xdr:rowOff>32892</xdr:rowOff>
        </xdr:to>
        <xdr:pic>
          <xdr:nvPicPr>
            <xdr:cNvPr id="40" name="Picture 39">
              <a:extLst>
                <a:ext uri="{FF2B5EF4-FFF2-40B4-BE49-F238E27FC236}">
                  <a16:creationId xmlns:a16="http://schemas.microsoft.com/office/drawing/2014/main" id="{FBCCFBD0-7C9B-48DC-B5EC-E51C09902239}"/>
                </a:ext>
              </a:extLst>
            </xdr:cNvPr>
            <xdr:cNvPicPr>
              <a:picLocks noChangeAspect="1" noChangeArrowheads="1"/>
              <a:extLst>
                <a:ext uri="{84589F7E-364E-4C9E-8A38-B11213B215E9}">
                  <a14:cameraTool cellRange="KPI!$A$63:$D$65" spid="_x0000_s1038"/>
                </a:ext>
              </a:extLst>
            </xdr:cNvPicPr>
          </xdr:nvPicPr>
          <xdr:blipFill>
            <a:blip xmlns:r="http://schemas.openxmlformats.org/officeDocument/2006/relationships" r:embed="rId14"/>
            <a:srcRect/>
            <a:stretch>
              <a:fillRect/>
            </a:stretch>
          </xdr:blipFill>
          <xdr:spPr bwMode="auto">
            <a:xfrm>
              <a:off x="948389" y="1260863"/>
              <a:ext cx="4506215" cy="58109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424069</xdr:colOff>
      <xdr:row>10</xdr:row>
      <xdr:rowOff>178905</xdr:rowOff>
    </xdr:from>
    <xdr:to>
      <xdr:col>8</xdr:col>
      <xdr:colOff>457199</xdr:colOff>
      <xdr:row>15</xdr:row>
      <xdr:rowOff>79512</xdr:rowOff>
    </xdr:to>
    <xdr:graphicFrame macro="">
      <xdr:nvGraphicFramePr>
        <xdr:cNvPr id="41" name="Chart 40">
          <a:extLst>
            <a:ext uri="{FF2B5EF4-FFF2-40B4-BE49-F238E27FC236}">
              <a16:creationId xmlns:a16="http://schemas.microsoft.com/office/drawing/2014/main" id="{36276476-C27B-477C-80A8-D1E3DB4CA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38537</xdr:colOff>
      <xdr:row>15</xdr:row>
      <xdr:rowOff>28695</xdr:rowOff>
    </xdr:from>
    <xdr:to>
      <xdr:col>6</xdr:col>
      <xdr:colOff>516834</xdr:colOff>
      <xdr:row>16</xdr:row>
      <xdr:rowOff>45756</xdr:rowOff>
    </xdr:to>
    <xdr:sp macro="" textlink="">
      <xdr:nvSpPr>
        <xdr:cNvPr id="42" name="TextBox 41">
          <a:extLst>
            <a:ext uri="{FF2B5EF4-FFF2-40B4-BE49-F238E27FC236}">
              <a16:creationId xmlns:a16="http://schemas.microsoft.com/office/drawing/2014/main" id="{31035FB2-68DB-47A0-873E-1088CCD8E1C2}"/>
            </a:ext>
          </a:extLst>
        </xdr:cNvPr>
        <xdr:cNvSpPr txBox="1"/>
      </xdr:nvSpPr>
      <xdr:spPr>
        <a:xfrm>
          <a:off x="2509084" y="2796898"/>
          <a:ext cx="1692734" cy="20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latin typeface="+mn-lt"/>
            </a:rPr>
            <a:t>No.</a:t>
          </a:r>
          <a:r>
            <a:rPr lang="en-IN" sz="1000" b="1" baseline="0">
              <a:latin typeface="+mn-lt"/>
            </a:rPr>
            <a:t> of Patient by Age group</a:t>
          </a:r>
          <a:endParaRPr lang="en-IN" sz="1000" b="1">
            <a:latin typeface="+mn-lt"/>
          </a:endParaRPr>
        </a:p>
      </xdr:txBody>
    </xdr:sp>
    <xdr:clientData/>
  </xdr:twoCellAnchor>
  <xdr:twoCellAnchor>
    <xdr:from>
      <xdr:col>8</xdr:col>
      <xdr:colOff>563216</xdr:colOff>
      <xdr:row>0</xdr:row>
      <xdr:rowOff>19879</xdr:rowOff>
    </xdr:from>
    <xdr:to>
      <xdr:col>11</xdr:col>
      <xdr:colOff>112642</xdr:colOff>
      <xdr:row>5</xdr:row>
      <xdr:rowOff>132523</xdr:rowOff>
    </xdr:to>
    <xdr:graphicFrame macro="">
      <xdr:nvGraphicFramePr>
        <xdr:cNvPr id="43" name="Chart 42">
          <a:extLst>
            <a:ext uri="{FF2B5EF4-FFF2-40B4-BE49-F238E27FC236}">
              <a16:creationId xmlns:a16="http://schemas.microsoft.com/office/drawing/2014/main" id="{73DA874A-8C7D-47C3-8BC3-2622E595E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90305</xdr:colOff>
      <xdr:row>4</xdr:row>
      <xdr:rowOff>178409</xdr:rowOff>
    </xdr:from>
    <xdr:to>
      <xdr:col>10</xdr:col>
      <xdr:colOff>586100</xdr:colOff>
      <xdr:row>6</xdr:row>
      <xdr:rowOff>79348</xdr:rowOff>
    </xdr:to>
    <xdr:sp macro="" textlink="">
      <xdr:nvSpPr>
        <xdr:cNvPr id="44" name="TextBox 43">
          <a:extLst>
            <a:ext uri="{FF2B5EF4-FFF2-40B4-BE49-F238E27FC236}">
              <a16:creationId xmlns:a16="http://schemas.microsoft.com/office/drawing/2014/main" id="{30E03F31-9417-4298-87E8-B9F64C988AB8}"/>
            </a:ext>
          </a:extLst>
        </xdr:cNvPr>
        <xdr:cNvSpPr txBox="1"/>
      </xdr:nvSpPr>
      <xdr:spPr>
        <a:xfrm>
          <a:off x="5596946" y="916597"/>
          <a:ext cx="1103013" cy="270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latin typeface="+mn-lt"/>
            </a:rPr>
            <a:t>Patient</a:t>
          </a:r>
          <a:r>
            <a:rPr lang="en-IN" sz="900" b="1" baseline="0">
              <a:latin typeface="+mn-lt"/>
            </a:rPr>
            <a:t> Attend Status</a:t>
          </a:r>
          <a:endParaRPr lang="en-IN" sz="900" b="1">
            <a:latin typeface="+mn-lt"/>
          </a:endParaRPr>
        </a:p>
      </xdr:txBody>
    </xdr:sp>
    <xdr:clientData/>
  </xdr:twoCellAnchor>
  <xdr:twoCellAnchor>
    <xdr:from>
      <xdr:col>10</xdr:col>
      <xdr:colOff>510210</xdr:colOff>
      <xdr:row>0</xdr:row>
      <xdr:rowOff>6627</xdr:rowOff>
    </xdr:from>
    <xdr:to>
      <xdr:col>13</xdr:col>
      <xdr:colOff>33130</xdr:colOff>
      <xdr:row>5</xdr:row>
      <xdr:rowOff>145775</xdr:rowOff>
    </xdr:to>
    <xdr:graphicFrame macro="">
      <xdr:nvGraphicFramePr>
        <xdr:cNvPr id="45" name="Chart 44">
          <a:extLst>
            <a:ext uri="{FF2B5EF4-FFF2-40B4-BE49-F238E27FC236}">
              <a16:creationId xmlns:a16="http://schemas.microsoft.com/office/drawing/2014/main" id="{18AC2B55-80EA-4F57-89A0-415A5F31A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203622</xdr:colOff>
      <xdr:row>4</xdr:row>
      <xdr:rowOff>177917</xdr:rowOff>
    </xdr:from>
    <xdr:to>
      <xdr:col>13</xdr:col>
      <xdr:colOff>92198</xdr:colOff>
      <xdr:row>6</xdr:row>
      <xdr:rowOff>79840</xdr:rowOff>
    </xdr:to>
    <xdr:sp macro="" textlink="">
      <xdr:nvSpPr>
        <xdr:cNvPr id="46" name="TextBox 45">
          <a:extLst>
            <a:ext uri="{FF2B5EF4-FFF2-40B4-BE49-F238E27FC236}">
              <a16:creationId xmlns:a16="http://schemas.microsoft.com/office/drawing/2014/main" id="{F21A2E67-9862-4088-AFF8-A9B9BA6ED8A6}"/>
            </a:ext>
          </a:extLst>
        </xdr:cNvPr>
        <xdr:cNvSpPr txBox="1"/>
      </xdr:nvSpPr>
      <xdr:spPr>
        <a:xfrm>
          <a:off x="6924700" y="916105"/>
          <a:ext cx="1103014" cy="271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latin typeface="+mn-lt"/>
            </a:rPr>
            <a:t>Gender</a:t>
          </a:r>
          <a:r>
            <a:rPr lang="en-IN" sz="900" b="1" baseline="0">
              <a:latin typeface="+mn-lt"/>
            </a:rPr>
            <a:t> Wise Analysis</a:t>
          </a:r>
          <a:endParaRPr lang="en-IN" sz="900" b="1">
            <a:latin typeface="+mn-lt"/>
          </a:endParaRPr>
        </a:p>
      </xdr:txBody>
    </xdr:sp>
    <xdr:clientData/>
  </xdr:twoCellAnchor>
  <xdr:twoCellAnchor>
    <xdr:from>
      <xdr:col>9</xdr:col>
      <xdr:colOff>145773</xdr:colOff>
      <xdr:row>6</xdr:row>
      <xdr:rowOff>79512</xdr:rowOff>
    </xdr:from>
    <xdr:to>
      <xdr:col>13</xdr:col>
      <xdr:colOff>86138</xdr:colOff>
      <xdr:row>14</xdr:row>
      <xdr:rowOff>152400</xdr:rowOff>
    </xdr:to>
    <xdr:graphicFrame macro="">
      <xdr:nvGraphicFramePr>
        <xdr:cNvPr id="47" name="Chart 46">
          <a:extLst>
            <a:ext uri="{FF2B5EF4-FFF2-40B4-BE49-F238E27FC236}">
              <a16:creationId xmlns:a16="http://schemas.microsoft.com/office/drawing/2014/main" id="{19554D4D-BD92-4339-9152-93BFFB54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376470</xdr:colOff>
      <xdr:row>14</xdr:row>
      <xdr:rowOff>179030</xdr:rowOff>
    </xdr:from>
    <xdr:to>
      <xdr:col>12</xdr:col>
      <xdr:colOff>503584</xdr:colOff>
      <xdr:row>16</xdr:row>
      <xdr:rowOff>79969</xdr:rowOff>
    </xdr:to>
    <xdr:sp macro="" textlink="">
      <xdr:nvSpPr>
        <xdr:cNvPr id="48" name="TextBox 47">
          <a:extLst>
            <a:ext uri="{FF2B5EF4-FFF2-40B4-BE49-F238E27FC236}">
              <a16:creationId xmlns:a16="http://schemas.microsoft.com/office/drawing/2014/main" id="{8847E695-CE20-45DD-9184-D37186E32F22}"/>
            </a:ext>
          </a:extLst>
        </xdr:cNvPr>
        <xdr:cNvSpPr txBox="1"/>
      </xdr:nvSpPr>
      <xdr:spPr>
        <a:xfrm>
          <a:off x="5883111" y="2762686"/>
          <a:ext cx="1948770" cy="270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latin typeface="+mn-lt"/>
            </a:rPr>
            <a:t>No. of Patient</a:t>
          </a:r>
          <a:r>
            <a:rPr lang="en-IN" sz="900" b="1" baseline="0">
              <a:latin typeface="+mn-lt"/>
            </a:rPr>
            <a:t> by department referal</a:t>
          </a:r>
          <a:endParaRPr lang="en-IN" sz="900" b="1">
            <a:latin typeface="+mn-lt"/>
          </a:endParaRPr>
        </a:p>
      </xdr:txBody>
    </xdr:sp>
    <xdr:clientData/>
  </xdr:twoCellAnchor>
  <xdr:twoCellAnchor editAs="absolute">
    <xdr:from>
      <xdr:col>6</xdr:col>
      <xdr:colOff>383458</xdr:colOff>
      <xdr:row>0</xdr:row>
      <xdr:rowOff>40252</xdr:rowOff>
    </xdr:from>
    <xdr:to>
      <xdr:col>8</xdr:col>
      <xdr:colOff>508804</xdr:colOff>
      <xdr:row>2</xdr:row>
      <xdr:rowOff>54999</xdr:rowOff>
    </xdr:to>
    <mc:AlternateContent xmlns:mc="http://schemas.openxmlformats.org/markup-compatibility/2006">
      <mc:Choice xmlns:a14="http://schemas.microsoft.com/office/drawing/2010/main" Requires="a14">
        <xdr:graphicFrame macro="">
          <xdr:nvGraphicFramePr>
            <xdr:cNvPr id="49" name="Column1 (Year) 1">
              <a:extLst>
                <a:ext uri="{FF2B5EF4-FFF2-40B4-BE49-F238E27FC236}">
                  <a16:creationId xmlns:a16="http://schemas.microsoft.com/office/drawing/2014/main" id="{E83FC5EF-8A04-4AEF-AD89-6DB1949301FE}"/>
                </a:ext>
              </a:extLst>
            </xdr:cNvPr>
            <xdr:cNvGraphicFramePr/>
          </xdr:nvGraphicFramePr>
          <xdr:xfrm>
            <a:off x="0" y="0"/>
            <a:ext cx="0" cy="0"/>
          </xdr:xfrm>
          <a:graphic>
            <a:graphicData uri="http://schemas.microsoft.com/office/drawing/2010/slicer">
              <sle:slicer xmlns:sle="http://schemas.microsoft.com/office/drawing/2010/slicer" name="Column1 (Year) 1"/>
            </a:graphicData>
          </a:graphic>
        </xdr:graphicFrame>
      </mc:Choice>
      <mc:Fallback>
        <xdr:sp macro="" textlink="">
          <xdr:nvSpPr>
            <xdr:cNvPr id="0" name=""/>
            <xdr:cNvSpPr>
              <a:spLocks noTextEdit="1"/>
            </xdr:cNvSpPr>
          </xdr:nvSpPr>
          <xdr:spPr>
            <a:xfrm>
              <a:off x="4068442" y="40252"/>
              <a:ext cx="1339784" cy="383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64458</xdr:colOff>
      <xdr:row>2</xdr:row>
      <xdr:rowOff>148897</xdr:rowOff>
    </xdr:from>
    <xdr:to>
      <xdr:col>1</xdr:col>
      <xdr:colOff>309698</xdr:colOff>
      <xdr:row>16</xdr:row>
      <xdr:rowOff>96344</xdr:rowOff>
    </xdr:to>
    <mc:AlternateContent xmlns:mc="http://schemas.openxmlformats.org/markup-compatibility/2006">
      <mc:Choice xmlns:a14="http://schemas.microsoft.com/office/drawing/2010/main" Requires="a14">
        <xdr:graphicFrame macro="">
          <xdr:nvGraphicFramePr>
            <xdr:cNvPr id="50" name="Column1 (Month) 1">
              <a:extLst>
                <a:ext uri="{FF2B5EF4-FFF2-40B4-BE49-F238E27FC236}">
                  <a16:creationId xmlns:a16="http://schemas.microsoft.com/office/drawing/2014/main" id="{1568A33C-6629-4132-A3A8-C65CDCCB1FBD}"/>
                </a:ext>
              </a:extLst>
            </xdr:cNvPr>
            <xdr:cNvGraphicFramePr/>
          </xdr:nvGraphicFramePr>
          <xdr:xfrm>
            <a:off x="0" y="0"/>
            <a:ext cx="0" cy="0"/>
          </xdr:xfrm>
          <a:graphic>
            <a:graphicData uri="http://schemas.microsoft.com/office/drawing/2010/slicer">
              <sle:slicer xmlns:sle="http://schemas.microsoft.com/office/drawing/2010/slicer" name="Column1 (Month) 1"/>
            </a:graphicData>
          </a:graphic>
        </xdr:graphicFrame>
      </mc:Choice>
      <mc:Fallback>
        <xdr:sp macro="" textlink="">
          <xdr:nvSpPr>
            <xdr:cNvPr id="0" name=""/>
            <xdr:cNvSpPr>
              <a:spLocks noTextEdit="1"/>
            </xdr:cNvSpPr>
          </xdr:nvSpPr>
          <xdr:spPr>
            <a:xfrm>
              <a:off x="64458" y="517991"/>
              <a:ext cx="852459" cy="2531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1534048</xdr:colOff>
      <xdr:row>38</xdr:row>
      <xdr:rowOff>64577</xdr:rowOff>
    </xdr:from>
    <xdr:to>
      <xdr:col>4</xdr:col>
      <xdr:colOff>539309</xdr:colOff>
      <xdr:row>46</xdr:row>
      <xdr:rowOff>163636</xdr:rowOff>
    </xdr:to>
    <xdr:graphicFrame macro="">
      <xdr:nvGraphicFramePr>
        <xdr:cNvPr id="3" name="Chart 2">
          <a:extLst>
            <a:ext uri="{FF2B5EF4-FFF2-40B4-BE49-F238E27FC236}">
              <a16:creationId xmlns:a16="http://schemas.microsoft.com/office/drawing/2014/main" id="{12654627-7831-4235-86B2-040B6817C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554312</xdr:colOff>
      <xdr:row>37</xdr:row>
      <xdr:rowOff>154982</xdr:rowOff>
    </xdr:from>
    <xdr:to>
      <xdr:col>9</xdr:col>
      <xdr:colOff>811704</xdr:colOff>
      <xdr:row>48</xdr:row>
      <xdr:rowOff>0</xdr:rowOff>
    </xdr:to>
    <xdr:graphicFrame macro="">
      <xdr:nvGraphicFramePr>
        <xdr:cNvPr id="4" name="Chart 3">
          <a:extLst>
            <a:ext uri="{FF2B5EF4-FFF2-40B4-BE49-F238E27FC236}">
              <a16:creationId xmlns:a16="http://schemas.microsoft.com/office/drawing/2014/main" id="{BCA6DB35-E7E6-411F-BC0A-B697EF06D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160398</xdr:colOff>
      <xdr:row>37</xdr:row>
      <xdr:rowOff>100738</xdr:rowOff>
    </xdr:from>
    <xdr:to>
      <xdr:col>15</xdr:col>
      <xdr:colOff>1320943</xdr:colOff>
      <xdr:row>52</xdr:row>
      <xdr:rowOff>131735</xdr:rowOff>
    </xdr:to>
    <xdr:graphicFrame macro="">
      <xdr:nvGraphicFramePr>
        <xdr:cNvPr id="5" name="Chart 4">
          <a:extLst>
            <a:ext uri="{FF2B5EF4-FFF2-40B4-BE49-F238E27FC236}">
              <a16:creationId xmlns:a16="http://schemas.microsoft.com/office/drawing/2014/main" id="{160BEC6E-5651-48F2-8F39-574DD38C2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61572</xdr:colOff>
      <xdr:row>62</xdr:row>
      <xdr:rowOff>138544</xdr:rowOff>
    </xdr:from>
    <xdr:to>
      <xdr:col>4</xdr:col>
      <xdr:colOff>23095</xdr:colOff>
      <xdr:row>64</xdr:row>
      <xdr:rowOff>169333</xdr:rowOff>
    </xdr:to>
    <xdr:graphicFrame macro="">
      <xdr:nvGraphicFramePr>
        <xdr:cNvPr id="6" name="Chart 5">
          <a:extLst>
            <a:ext uri="{FF2B5EF4-FFF2-40B4-BE49-F238E27FC236}">
              <a16:creationId xmlns:a16="http://schemas.microsoft.com/office/drawing/2014/main" id="{E8043908-F83F-472E-B834-90B5AA4110A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15394</xdr:colOff>
      <xdr:row>68</xdr:row>
      <xdr:rowOff>121611</xdr:rowOff>
    </xdr:from>
    <xdr:to>
      <xdr:col>7</xdr:col>
      <xdr:colOff>200121</xdr:colOff>
      <xdr:row>79</xdr:row>
      <xdr:rowOff>76970</xdr:rowOff>
    </xdr:to>
    <xdr:graphicFrame macro="">
      <xdr:nvGraphicFramePr>
        <xdr:cNvPr id="7" name="Chart 6">
          <a:extLst>
            <a:ext uri="{FF2B5EF4-FFF2-40B4-BE49-F238E27FC236}">
              <a16:creationId xmlns:a16="http://schemas.microsoft.com/office/drawing/2014/main" id="{7FEB68CE-E728-434B-8A0D-7D3505679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xdr:col>
      <xdr:colOff>569576</xdr:colOff>
      <xdr:row>83</xdr:row>
      <xdr:rowOff>61576</xdr:rowOff>
    </xdr:from>
    <xdr:to>
      <xdr:col>5</xdr:col>
      <xdr:colOff>384849</xdr:colOff>
      <xdr:row>91</xdr:row>
      <xdr:rowOff>178570</xdr:rowOff>
    </xdr:to>
    <xdr:graphicFrame macro="">
      <xdr:nvGraphicFramePr>
        <xdr:cNvPr id="8" name="Chart 7">
          <a:extLst>
            <a:ext uri="{FF2B5EF4-FFF2-40B4-BE49-F238E27FC236}">
              <a16:creationId xmlns:a16="http://schemas.microsoft.com/office/drawing/2014/main" id="{4B49EDA2-17ED-4703-8F31-03AE4D54C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xdr:col>
      <xdr:colOff>184728</xdr:colOff>
      <xdr:row>92</xdr:row>
      <xdr:rowOff>138544</xdr:rowOff>
    </xdr:from>
    <xdr:to>
      <xdr:col>4</xdr:col>
      <xdr:colOff>584970</xdr:colOff>
      <xdr:row>103</xdr:row>
      <xdr:rowOff>40023</xdr:rowOff>
    </xdr:to>
    <xdr:graphicFrame macro="">
      <xdr:nvGraphicFramePr>
        <xdr:cNvPr id="9" name="Chart 8">
          <a:extLst>
            <a:ext uri="{FF2B5EF4-FFF2-40B4-BE49-F238E27FC236}">
              <a16:creationId xmlns:a16="http://schemas.microsoft.com/office/drawing/2014/main" id="{29B716AF-618A-49A0-B616-B06F64854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xdr:col>
      <xdr:colOff>361757</xdr:colOff>
      <xdr:row>106</xdr:row>
      <xdr:rowOff>76970</xdr:rowOff>
    </xdr:from>
    <xdr:to>
      <xdr:col>4</xdr:col>
      <xdr:colOff>1416242</xdr:colOff>
      <xdr:row>116</xdr:row>
      <xdr:rowOff>84667</xdr:rowOff>
    </xdr:to>
    <xdr:graphicFrame macro="">
      <xdr:nvGraphicFramePr>
        <xdr:cNvPr id="10" name="Chart 9">
          <a:extLst>
            <a:ext uri="{FF2B5EF4-FFF2-40B4-BE49-F238E27FC236}">
              <a16:creationId xmlns:a16="http://schemas.microsoft.com/office/drawing/2014/main" id="{802DD5EE-A4F0-4534-ACAD-A26B4AF16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922482</xdr:colOff>
      <xdr:row>116</xdr:row>
      <xdr:rowOff>154</xdr:rowOff>
    </xdr:from>
    <xdr:to>
      <xdr:col>4</xdr:col>
      <xdr:colOff>1450494</xdr:colOff>
      <xdr:row>121</xdr:row>
      <xdr:rowOff>7697</xdr:rowOff>
    </xdr:to>
    <mc:AlternateContent xmlns:mc="http://schemas.openxmlformats.org/markup-compatibility/2006">
      <mc:Choice xmlns:a14="http://schemas.microsoft.com/office/drawing/2010/main" Requires="a14">
        <xdr:graphicFrame macro="">
          <xdr:nvGraphicFramePr>
            <xdr:cNvPr id="11" name="Column1 (Year)">
              <a:extLst>
                <a:ext uri="{FF2B5EF4-FFF2-40B4-BE49-F238E27FC236}">
                  <a16:creationId xmlns:a16="http://schemas.microsoft.com/office/drawing/2014/main" id="{ACFE3515-AD6D-4391-9F5D-7E6C7117A8DC}"/>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dr:sp macro="" textlink="">
          <xdr:nvSpPr>
            <xdr:cNvPr id="0" name=""/>
            <xdr:cNvSpPr>
              <a:spLocks noTextEdit="1"/>
            </xdr:cNvSpPr>
          </xdr:nvSpPr>
          <xdr:spPr>
            <a:xfrm>
              <a:off x="4687215" y="20898570"/>
              <a:ext cx="1833220" cy="912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191270</xdr:colOff>
      <xdr:row>12</xdr:row>
      <xdr:rowOff>48337</xdr:rowOff>
    </xdr:from>
    <xdr:to>
      <xdr:col>2</xdr:col>
      <xdr:colOff>142009</xdr:colOff>
      <xdr:row>28</xdr:row>
      <xdr:rowOff>38484</xdr:rowOff>
    </xdr:to>
    <mc:AlternateContent xmlns:mc="http://schemas.openxmlformats.org/markup-compatibility/2006">
      <mc:Choice xmlns:a14="http://schemas.microsoft.com/office/drawing/2010/main" Requires="a14">
        <xdr:graphicFrame macro="">
          <xdr:nvGraphicFramePr>
            <xdr:cNvPr id="12" name="Column1 (Month)">
              <a:extLst>
                <a:ext uri="{FF2B5EF4-FFF2-40B4-BE49-F238E27FC236}">
                  <a16:creationId xmlns:a16="http://schemas.microsoft.com/office/drawing/2014/main" id="{ED7337C7-C436-4135-8FC9-28E3FEF15890}"/>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dr:sp macro="" textlink="">
          <xdr:nvSpPr>
            <xdr:cNvPr id="0" name=""/>
            <xdr:cNvSpPr>
              <a:spLocks noTextEdit="1"/>
            </xdr:cNvSpPr>
          </xdr:nvSpPr>
          <xdr:spPr>
            <a:xfrm>
              <a:off x="1390854" y="2221169"/>
              <a:ext cx="1821789" cy="2887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297180</xdr:colOff>
      <xdr:row>20</xdr:row>
      <xdr:rowOff>76200</xdr:rowOff>
    </xdr:to>
    <xdr:graphicFrame macro="">
      <xdr:nvGraphicFramePr>
        <xdr:cNvPr id="2" name="Chart 1">
          <a:extLst>
            <a:ext uri="{FF2B5EF4-FFF2-40B4-BE49-F238E27FC236}">
              <a16:creationId xmlns:a16="http://schemas.microsoft.com/office/drawing/2014/main" id="{EA41463F-6E5B-477C-9103-3D8B21593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236220</xdr:colOff>
      <xdr:row>4</xdr:row>
      <xdr:rowOff>129540</xdr:rowOff>
    </xdr:from>
    <xdr:to>
      <xdr:col>22</xdr:col>
      <xdr:colOff>508000</xdr:colOff>
      <xdr:row>34</xdr:row>
      <xdr:rowOff>114300</xdr:rowOff>
    </xdr:to>
    <xdr:graphicFrame macro="">
      <xdr:nvGraphicFramePr>
        <xdr:cNvPr id="2" name="Chart 1">
          <a:extLst>
            <a:ext uri="{FF2B5EF4-FFF2-40B4-BE49-F238E27FC236}">
              <a16:creationId xmlns:a16="http://schemas.microsoft.com/office/drawing/2014/main" id="{960CDFA1-E7D5-4D29-997D-42B4A72B0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10886</xdr:colOff>
      <xdr:row>35</xdr:row>
      <xdr:rowOff>21771</xdr:rowOff>
    </xdr:from>
    <xdr:to>
      <xdr:col>19</xdr:col>
      <xdr:colOff>315686</xdr:colOff>
      <xdr:row>37</xdr:row>
      <xdr:rowOff>185056</xdr:rowOff>
    </xdr:to>
    <xdr:sp macro="" textlink="">
      <xdr:nvSpPr>
        <xdr:cNvPr id="3" name="TextBox 2">
          <a:extLst>
            <a:ext uri="{FF2B5EF4-FFF2-40B4-BE49-F238E27FC236}">
              <a16:creationId xmlns:a16="http://schemas.microsoft.com/office/drawing/2014/main" id="{05F115E9-E759-4679-950B-D3AFF15B98B3}"/>
            </a:ext>
          </a:extLst>
        </xdr:cNvPr>
        <xdr:cNvSpPr txBox="1"/>
      </xdr:nvSpPr>
      <xdr:spPr>
        <a:xfrm>
          <a:off x="1839686" y="6498771"/>
          <a:ext cx="10058400" cy="53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effectLst/>
              <a:latin typeface="Arial Black" panose="020B0A04020102020204" pitchFamily="34" charset="0"/>
            </a:rPr>
            <a:t>Area Chart showing</a:t>
          </a:r>
          <a:r>
            <a:rPr lang="en-US" sz="1600" b="1" baseline="0">
              <a:effectLst/>
              <a:latin typeface="Arial Black" panose="020B0A04020102020204" pitchFamily="34" charset="0"/>
            </a:rPr>
            <a:t> </a:t>
          </a:r>
          <a:r>
            <a:rPr lang="en-US" sz="1600" b="1">
              <a:effectLst/>
              <a:latin typeface="Arial Black" panose="020B0A04020102020204" pitchFamily="34" charset="0"/>
            </a:rPr>
            <a:t>daily changes of Patient's wait times </a:t>
          </a:r>
          <a:endParaRPr lang="en-IN" sz="1600" b="1">
            <a:effectLst/>
            <a:latin typeface="Arial Black" panose="020B0A04020102020204" pitchFamily="34" charset="0"/>
          </a:endParaRPr>
        </a:p>
        <a:p>
          <a:endParaRPr lang="en-IN" sz="1600" b="1">
            <a:effectLst/>
            <a:latin typeface="Arial Black" panose="020B0A04020102020204" pitchFamily="34" charset="0"/>
          </a:endParaRPr>
        </a:p>
      </xdr:txBody>
    </xdr:sp>
    <xdr:clientData/>
  </xdr:twoCellAnchor>
  <xdr:twoCellAnchor editAs="oneCell">
    <xdr:from>
      <xdr:col>1</xdr:col>
      <xdr:colOff>435429</xdr:colOff>
      <xdr:row>5</xdr:row>
      <xdr:rowOff>119742</xdr:rowOff>
    </xdr:from>
    <xdr:to>
      <xdr:col>2</xdr:col>
      <xdr:colOff>181428</xdr:colOff>
      <xdr:row>7</xdr:row>
      <xdr:rowOff>104930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A2F1D79-70B4-49AD-9067-275A257024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45029" y="1045028"/>
          <a:ext cx="355599" cy="3553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454526</xdr:colOff>
      <xdr:row>3</xdr:row>
      <xdr:rowOff>130416</xdr:rowOff>
    </xdr:from>
    <xdr:to>
      <xdr:col>14</xdr:col>
      <xdr:colOff>514683</xdr:colOff>
      <xdr:row>20</xdr:row>
      <xdr:rowOff>153736</xdr:rowOff>
    </xdr:to>
    <xdr:graphicFrame macro="">
      <xdr:nvGraphicFramePr>
        <xdr:cNvPr id="2" name="Chart 1">
          <a:extLst>
            <a:ext uri="{FF2B5EF4-FFF2-40B4-BE49-F238E27FC236}">
              <a16:creationId xmlns:a16="http://schemas.microsoft.com/office/drawing/2014/main" id="{2E052BDF-5996-4278-B334-75F6AD73C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320099</xdr:colOff>
      <xdr:row>4</xdr:row>
      <xdr:rowOff>17824</xdr:rowOff>
    </xdr:from>
    <xdr:to>
      <xdr:col>2</xdr:col>
      <xdr:colOff>67435</xdr:colOff>
      <xdr:row>6</xdr:row>
      <xdr:rowOff>12179</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7D92D584-D51C-4A15-9734-C3E79B8875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28362" y="739719"/>
          <a:ext cx="355599" cy="355302"/>
        </a:xfrm>
        <a:prstGeom prst="rect">
          <a:avLst/>
        </a:prstGeom>
      </xdr:spPr>
    </xdr:pic>
    <xdr:clientData/>
  </xdr:twoCellAnchor>
  <xdr:twoCellAnchor>
    <xdr:from>
      <xdr:col>1</xdr:col>
      <xdr:colOff>152400</xdr:colOff>
      <xdr:row>21</xdr:row>
      <xdr:rowOff>135466</xdr:rowOff>
    </xdr:from>
    <xdr:to>
      <xdr:col>11</xdr:col>
      <xdr:colOff>468489</xdr:colOff>
      <xdr:row>23</xdr:row>
      <xdr:rowOff>33867</xdr:rowOff>
    </xdr:to>
    <xdr:sp macro="" textlink="">
      <xdr:nvSpPr>
        <xdr:cNvPr id="5" name="TextBox 4">
          <a:extLst>
            <a:ext uri="{FF2B5EF4-FFF2-40B4-BE49-F238E27FC236}">
              <a16:creationId xmlns:a16="http://schemas.microsoft.com/office/drawing/2014/main" id="{6850A7AE-C42E-4016-8C3B-305841FEEEEE}"/>
            </a:ext>
          </a:extLst>
        </xdr:cNvPr>
        <xdr:cNvSpPr txBox="1"/>
      </xdr:nvSpPr>
      <xdr:spPr>
        <a:xfrm>
          <a:off x="762000" y="3928533"/>
          <a:ext cx="6412089" cy="25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Area</a:t>
          </a:r>
          <a:r>
            <a:rPr lang="en-IN" sz="1100" b="1" baseline="0"/>
            <a:t> Chart </a:t>
          </a:r>
          <a:r>
            <a:rPr lang="en-IN" sz="1100" b="1"/>
            <a:t>Showing a daily trend</a:t>
          </a:r>
          <a:r>
            <a:rPr lang="en-IN" sz="1100" b="1" baseline="0"/>
            <a:t> with an area sparkline to spot patterns like busy days or seasonal trends.</a:t>
          </a:r>
          <a:endParaRPr lang="en-IN" sz="1100" b="1"/>
        </a:p>
      </xdr:txBody>
    </xdr:sp>
    <xdr:clientData/>
  </xdr:twoCellAnchor>
  <xdr:twoCellAnchor editAs="absolute">
    <xdr:from>
      <xdr:col>0</xdr:col>
      <xdr:colOff>467894</xdr:colOff>
      <xdr:row>3</xdr:row>
      <xdr:rowOff>150468</xdr:rowOff>
    </xdr:from>
    <xdr:to>
      <xdr:col>14</xdr:col>
      <xdr:colOff>528051</xdr:colOff>
      <xdr:row>20</xdr:row>
      <xdr:rowOff>173788</xdr:rowOff>
    </xdr:to>
    <xdr:graphicFrame macro="">
      <xdr:nvGraphicFramePr>
        <xdr:cNvPr id="6" name="Chart 5">
          <a:extLst>
            <a:ext uri="{FF2B5EF4-FFF2-40B4-BE49-F238E27FC236}">
              <a16:creationId xmlns:a16="http://schemas.microsoft.com/office/drawing/2014/main" id="{4501A17F-8EBA-4499-9696-A9AA7821F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333467</xdr:colOff>
      <xdr:row>4</xdr:row>
      <xdr:rowOff>37876</xdr:rowOff>
    </xdr:from>
    <xdr:to>
      <xdr:col>2</xdr:col>
      <xdr:colOff>80803</xdr:colOff>
      <xdr:row>6</xdr:row>
      <xdr:rowOff>32231</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3D2BFC0B-D0A2-4DA4-86B7-3AFF7C9622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41730" y="759771"/>
          <a:ext cx="355599" cy="35530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5625" createdVersion="5" refreshedVersion="7" minRefreshableVersion="3" recordCount="0" supportSubquery="1" supportAdvancedDrill="1" xr:uid="{6ACE40D6-2F6B-498F-BFFC-FA0D36D878FF}">
  <cacheSource type="external" connectionId="3"/>
  <cacheFields count="5">
    <cacheField name="[Measures].[Distinct Count of Patient Id]" caption="Distinct Count of Patient Id" numFmtId="0" hierarchy="24" level="32767"/>
    <cacheField name="[Calender_Table].[Column1].[Column1]" caption="Column1"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_Table].[Column1 (Day)].[Column1 (Day)]" caption="Column1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1"/>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3"/>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2"/>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2"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5856485" createdVersion="5" refreshedVersion="7" minRefreshableVersion="3" recordCount="0" supportSubquery="1" supportAdvancedDrill="1" xr:uid="{59C6E43A-4A67-4EB4-8CBE-64CF5452572B}">
  <cacheSource type="external" connectionId="3"/>
  <cacheFields count="3">
    <cacheField name="[Measures].[Distinct Count of Patient Id]" caption="Distinct Count of Patient Id" numFmtId="0" hierarchy="24"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6319447" createdVersion="5" refreshedVersion="7" minRefreshableVersion="3" recordCount="0" supportSubquery="1" supportAdvancedDrill="1" xr:uid="{B1BB02D1-9612-4253-828D-3BEB2FF1B133}">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6782409" createdVersion="5" refreshedVersion="7" minRefreshableVersion="3" recordCount="0" supportSubquery="1" supportAdvancedDrill="1" xr:uid="{C23D3074-682F-4367-B232-C41D2F21D40D}">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7245371" createdVersion="5" refreshedVersion="7" minRefreshableVersion="3" recordCount="0" supportSubquery="1" supportAdvancedDrill="1" xr:uid="{CEC794C9-26B0-49C8-8CBD-8FB1FFEF2D4F}">
  <cacheSource type="external" connectionId="3"/>
  <cacheFields count="4">
    <cacheField name="[Calender_Table].[Column1 (Month)].[Column1 (Month)]" caption="Column1 (Month)" numFmtId="0" hierarchy="1" level="1">
      <sharedItems containsNonDate="0" count="1">
        <s v="Mar"/>
      </sharedItems>
    </cacheField>
    <cacheField name="[Calender_Table].[Column1].[Column1]" caption="Column1"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_Table].[Column1 (Quarter)].[Column1 (Quarter)]" caption="Column1 (Quarter)" numFmtId="0" hierarchy="4" level="1">
      <sharedItems containsNonDate="0" count="1">
        <s v="Qtr1"/>
      </sharedItems>
    </cacheField>
    <cacheField name="[Calender_Table].[Column1 (Year)].[Column1 (Year)]" caption="Column1 (Year)" numFmtId="0" hierarchy="3" level="1">
      <sharedItems count="1">
        <s v="2024"/>
      </sharedItems>
    </cacheField>
  </cacheFields>
  <cacheHierarchies count="34">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1"/>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2"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7476855" createdVersion="5" refreshedVersion="7" minRefreshableVersion="3" recordCount="0" supportSubquery="1" supportAdvancedDrill="1" xr:uid="{91931076-3529-41E2-A6E1-5C8D36AA7B99}">
  <cacheSource type="external" connectionId="3"/>
  <cacheFields count="3">
    <cacheField name="[Measures].[Average of Patient Waittime]" caption="Average of Patient Waittime" numFmtId="0" hierarchy="26"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7476855" createdVersion="5" refreshedVersion="7" minRefreshableVersion="3" recordCount="0" supportSubquery="1" supportAdvancedDrill="1" xr:uid="{6A6AE591-DD55-4806-B40B-23BC92F506C3}">
  <cacheSource type="external" connectionId="3"/>
  <cacheFields count="3">
    <cacheField name="[Measures].[Average of Patient Satisfaction Score]" caption="Average of Patient Satisfaction Score" numFmtId="0" hierarchy="29"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8055556" createdVersion="5" refreshedVersion="7" minRefreshableVersion="3" recordCount="0" supportSubquery="1" supportAdvancedDrill="1" xr:uid="{9FF77EA0-0E85-4363-A3F3-005C57CD9AD9}">
  <cacheSource type="external" connectionId="3"/>
  <cacheFields count="5">
    <cacheField name="[Calender_Table].[Column1 (Month)].[Column1 (Month)]" caption="Column1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ttend Status]" caption="Count of Patient Attend Status" numFmtId="0" hierarchy="30" level="32767"/>
    <cacheField name="[Calender_Table].[Column1 (Year)].[Column1 (Year)]" caption="Column1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Column1"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8518518" createdVersion="5" refreshedVersion="7" minRefreshableVersion="3" recordCount="0" supportSubquery="1" supportAdvancedDrill="1" xr:uid="{7645269B-7D6B-4910-BED1-A62F4A93F236}">
  <cacheSource type="external" connectionId="3"/>
  <cacheFields count="5">
    <cacheField name="[Calender_Table].[Column1].[Column1]" caption="Column1"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_Table].[Column1 (Day)].[Column1 (Day)]" caption="Column1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Column1 (Month)].[Column1 (Month)]" caption="Column1 (Month)" numFmtId="0" hierarchy="1" level="1">
      <sharedItems containsSemiMixedTypes="0" containsNonDate="0" containsString="0"/>
    </cacheField>
    <cacheField name="[Measures].[Average of Patient Waittime]" caption="Average of Patient Waittime" numFmtId="0" hierarchy="26"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0"/>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9097225" createdVersion="5" refreshedVersion="7" minRefreshableVersion="3" recordCount="0" supportSubquery="1" supportAdvancedDrill="1" xr:uid="{42CB1992-A7F5-4C05-81D8-E16722E25801}">
  <cacheSource type="external" connectionId="3"/>
  <cacheFields count="5">
    <cacheField name="[Calender_Table].[Column1].[Column1]" caption="Column1"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_Table].[Column1 (Day)].[Column1 (Day)]" caption="Column1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0"/>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4"/>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19791665" createdVersion="5" refreshedVersion="7" minRefreshableVersion="3" recordCount="0" supportSubquery="1" supportAdvancedDrill="1" xr:uid="{11202BF3-828C-4649-AC05-723831B3EEE8}">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Patient Id]" caption="Count of Patient Id" numFmtId="0" hierarchy="23"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504720370373" createdVersion="5" refreshedVersion="7" minRefreshableVersion="3" recordCount="0" supportSubquery="1" supportAdvancedDrill="1" xr:uid="{1710119B-BCD1-4CDB-90F6-C8CD4CD8E75E}">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hankar" refreshedDate="46040.491447337961" createdVersion="3" refreshedVersion="7" minRefreshableVersion="3" recordCount="0" supportSubquery="1" supportAdvancedDrill="1" xr:uid="{61DF71D1-8B76-4086-A263-104AFFE3D3F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603743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ECB66-7A8C-41CD-A6BE-4A3B563141D7}" name="PivotTable12" cacheId="1387" applyNumberFormats="0" applyBorderFormats="0" applyFontFormats="0" applyPatternFormats="0" applyAlignmentFormats="0" applyWidthHeightFormats="1" dataCaption="Values" tag="47db9837-7df6-4fe3-b054-f7334c5b5a1b" updatedVersion="7" minRefreshableVersion="3" subtotalHiddenItems="1" itemPrintTitles="1" createdVersion="5" indent="0" outline="1" outlineData="1" multipleFieldFilters="0" chartFormat="13">
  <location ref="A122:A12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Count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4105C2-57E4-4C19-BB22-855DA66171BA}" name="PivotTable11" cacheId="1384" applyNumberFormats="0" applyBorderFormats="0" applyFontFormats="0" applyPatternFormats="0" applyAlignmentFormats="0" applyWidthHeightFormats="1" dataCaption="Values" tag="47db9837-7df6-4fe3-b054-f7334c5b5a1b" updatedVersion="7" minRefreshableVersion="3" subtotalHiddenItems="1" itemPrintTitles="1" createdVersion="5" indent="0" outline="1" outlineData="1" multipleFieldFilters="0" chartFormat="13">
  <location ref="A108:B11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1">
    <format dxfId="1">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Count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4568B-5EE0-4248-86FA-5F89BE179FF4}" name="PivotTable10" cacheId="1381" applyNumberFormats="0" applyBorderFormats="0" applyFontFormats="0" applyPatternFormats="0" applyAlignmentFormats="0" applyWidthHeightFormats="1" dataCaption="Values" tag="47db9837-7df6-4fe3-b054-f7334c5b5a1b" updatedVersion="7" minRefreshableVersion="3" subtotalHiddenItems="1" itemPrintTitles="1" createdVersion="5" indent="0" outline="1" outlineData="1" multipleFieldFilters="0" chartFormat="10">
  <location ref="A96:B9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Count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6B4D79-70CA-48E5-8A7C-E5118AB3EFF6}" name="PivotTable9" cacheId="1408" applyNumberFormats="0" applyBorderFormats="0" applyFontFormats="0" applyPatternFormats="0" applyAlignmentFormats="0" applyWidthHeightFormats="1" dataCaption="Values" tag="47db9837-7df6-4fe3-b054-f7334c5b5a1b" updatedVersion="7" minRefreshableVersion="3" subtotalHiddenItems="1" itemPrintTitles="1" createdVersion="5" indent="0" outline="1" outlineData="1" multipleFieldFilters="0" chartFormat="7">
  <location ref="A84:B8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Count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C3BE3C-050A-4593-98B9-79C869C68EE3}" name="PivotTable8" cacheId="1405" applyNumberFormats="0" applyBorderFormats="0" applyFontFormats="0" applyPatternFormats="0" applyAlignmentFormats="0" applyWidthHeightFormats="1" dataCaption="Values" tag="47db9837-7df6-4fe3-b054-f7334c5b5a1b" updatedVersion="7" minRefreshableVersion="3" subtotalHiddenItems="1" itemPrintTitles="1" createdVersion="5" indent="0" outline="1" outlineData="1" multipleFieldFilters="0" chartFormat="4">
  <location ref="A70: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2">
    <format dxfId="4">
      <pivotArea collapsedLevelsAreSubtotals="1" fieldPosition="0">
        <references count="1">
          <reference field="1" count="1">
            <x v="0"/>
          </reference>
        </references>
      </pivotArea>
    </format>
    <format dxfId="5">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Count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B2B588-3ECC-44C4-9F7B-3FACE9821C7B}" name="PivotTable5" cacheId="1396" applyNumberFormats="0" applyBorderFormats="0" applyFontFormats="0" applyPatternFormats="0" applyAlignmentFormats="0" applyWidthHeightFormats="1" dataCaption="Values" tag="47db9837-7df6-4fe3-b054-f7334c5b5a1b" updatedVersion="7" minRefreshableVersion="3" subtotalHiddenItems="1" itemPrintTitles="1" createdVersion="5" indent="0" outline="1" outlineData="1" multipleFieldFilters="0" chartFormat="1">
  <location ref="A57:C60"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ttend Status" fld="2" subtotal="count" baseField="0" baseItem="0"/>
    <dataField name="Count of Patient Attend Status2" fld="4" subtotal="count" showDataAs="percentOfTotal" baseField="0" baseItem="0" numFmtId="10">
      <extLst>
        <ext xmlns:x14="http://schemas.microsoft.com/office/spreadsheetml/2009/9/main" uri="{E15A36E0-9728-4e99-A89B-3F7291B0FE68}">
          <x14:dataField sourceField="2" uniqueName="[__Xl2].[Measures].[Count of Patient Attend Status]"/>
        </ext>
      </extLst>
    </dataField>
  </dataFields>
  <formats count="4">
    <format dxfId="6">
      <pivotArea outline="0" collapsedLevelsAreSubtotals="1" fieldPosition="0"/>
    </format>
    <format dxfId="7">
      <pivotArea outline="0" fieldPosition="0">
        <references count="1">
          <reference field="4294967294" count="1">
            <x v="1"/>
          </reference>
        </references>
      </pivotArea>
    </format>
    <format dxfId="8">
      <pivotArea collapsedLevelsAreSubtotals="1" fieldPosition="0">
        <references count="2">
          <reference field="4294967294" count="1" selected="0">
            <x v="1"/>
          </reference>
          <reference field="1" count="1">
            <x v="1"/>
          </reference>
        </references>
      </pivotArea>
    </format>
    <format dxfId="9">
      <pivotArea collapsedLevelsAreSubtotals="1" fieldPosition="0">
        <references count="2">
          <reference field="4294967294" count="1" selected="0">
            <x v="1"/>
          </reference>
          <reference field="1"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0"/>
          </reference>
        </references>
      </pivotArea>
    </chartFormat>
    <chartFormat chart="0" format="3">
      <pivotArea type="data" outline="0" fieldPosition="0">
        <references count="2">
          <reference field="4294967294" count="1" selected="0">
            <x v="1"/>
          </reference>
          <reference field="1" count="1" selected="0">
            <x v="1"/>
          </reference>
        </references>
      </pivotArea>
    </chartFormat>
  </chartFormats>
  <pivotHierarchies count="35">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Count of Patient Satisfaction Score"/>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3F96A7-E4C8-4123-ACFF-A0864463F589}" name="PivotTable3" cacheId="1393" applyNumberFormats="0" applyBorderFormats="0" applyFontFormats="0" applyPatternFormats="0" applyAlignmentFormats="0" applyWidthHeightFormats="1" dataCaption="Values" tag="47db9837-7df6-4fe3-b054-f7334c5b5a1b" updatedVersion="7"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Count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934C0D-56E7-4958-B5EA-4877BDFA2A7E}" name="PivotTable2" cacheId="1390" applyNumberFormats="0" applyBorderFormats="0" applyFontFormats="0" applyPatternFormats="0" applyAlignmentFormats="0" applyWidthHeightFormats="1" dataCaption="Values" tag="8a01d870-3f51-4f4a-a55e-54b71bab0b24" updatedVersion="7"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
      <pivotArea outline="0" collapsedLevelsAreSubtotals="1" fieldPosition="0"/>
    </format>
  </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2D4287-FB14-45B1-B0B6-2872F13E18D2}" name="PivotTable1" cacheId="1378" applyNumberFormats="0" applyBorderFormats="0" applyFontFormats="0" applyPatternFormats="0" applyAlignmentFormats="0" applyWidthHeightFormats="1" dataCaption="Values" tag="9659e03e-bff0-4e21-9b21-7f913800563a" updatedVersion="7" minRefreshableVersion="3"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F26575-CD82-466C-B732-0BA6DCFFEC92}" name="PivotTable7" cacheId="1402" applyNumberFormats="0" applyBorderFormats="0" applyFontFormats="0" applyPatternFormats="0" applyAlignmentFormats="0" applyWidthHeightFormats="1" dataCaption="Values" tag="55a14035-e18b-4694-846e-d981896008a7" updatedVersion="7" minRefreshableVersion="3" subtotalHiddenItems="1" itemPrintTitles="1" createdVersion="5" indent="0" outline="1" outlineData="1" multipleFieldFilters="0" chartFormat="24">
  <location ref="O4:P33" firstHeaderRow="1" firstDataRow="1" firstDataCol="1"/>
  <pivotFields count="5">
    <pivotField name="Date"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3" subtotal="average" baseField="1" baseItem="0"/>
  </dataFields>
  <formats count="1">
    <format dxfId="10">
      <pivotArea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F974D2-AB55-488D-9879-CBDF8F0A3D61}" name="PivotTable6" cacheId="1399" applyNumberFormats="0" applyBorderFormats="0" applyFontFormats="0" applyPatternFormats="0" applyAlignmentFormats="0" applyWidthHeightFormats="1" dataCaption="Values" tag="9d5862c4-5cc7-4a6a-9f26-4cb7a117ad2c" updatedVersion="7" minRefreshableVersion="3" subtotalHiddenItems="1" itemPrintTitles="1" createdVersion="5" indent="0" outline="1" outlineData="1" multipleFieldFilters="0" chartFormat="10">
  <location ref="I4:J34" firstHeaderRow="1" firstDataRow="1" firstDataCol="1"/>
  <pivotFields count="5">
    <pivotField name="Date"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3" subtotal="average" baseField="1" baseItem="0" numFmtId="2"/>
  </dataFields>
  <formats count="1">
    <format dxfId="11">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EB0081-F191-4383-A476-665DD5AC4AF2}" name="PivotTable4" cacheId="1375" applyNumberFormats="0" applyBorderFormats="0" applyFontFormats="0" applyPatternFormats="0" applyAlignmentFormats="0" applyWidthHeightFormats="1" dataCaption="Values" tag="e35d10c2-7ac2-4435-ac17-c23ae160f7d9" updatedVersion="7" minRefreshableVersion="3" subtotalHiddenItems="1" itemPrintTitles="1" createdVersion="5" indent="0" outline="1" outlineData="1" multipleFieldFilters="0" chartFormat="8">
  <location ref="D5:E35" firstHeaderRow="1" firstDataRow="1" firstDataCol="1"/>
  <pivotFields count="5">
    <pivotField dataField="1" subtotalTop="0" showAll="0" defaultSubtotal="0"/>
    <pivotField name="Date"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Feb]"/>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D54B23D3-084A-412A-A511-CBD8982F43E6}" sourceName="[Calender_Table].[Column1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60374316">
      <levels count="2">
        <level uniqueName="[Calender_Table].[Column1 (Year)].[(All)]" sourceCaption="(All)" count="0"/>
        <level uniqueName="[Calender_Table].[Column1 (Year)].[Column1 (Year)]" sourceCaption="Column1 (Year)" count="2">
          <ranges>
            <range startItem="0">
              <i n="[Calender_Table].[Column1 (Year)].&amp;[2023]" c="2023"/>
              <i n="[Calender_Table].[Column1 (Year)].&amp;[2024]" c="2024"/>
            </range>
          </ranges>
        </level>
      </levels>
      <selections count="1">
        <selection n="[Calender_Table].[Column1 (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20C17A83-48AA-4A63-A324-F09466995CF9}" sourceName="[Calender_Table].[Column1 (Month)]">
  <pivotTables>
    <pivotTable tabId="1" name="PivotTable4"/>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s>
  <data>
    <olap pivotCacheId="960374316">
      <levels count="2">
        <level uniqueName="[Calender_Table].[Column1 (Month)].[(All)]" sourceCaption="(All)" count="0"/>
        <level uniqueName="[Calender_Table].[Column1 (Month)].[Column1 (Month)]" sourceCaption="Column1 (Month)" count="12">
          <ranges>
            <range startItem="0">
              <i n="[Calender_Table].[Column1 (Month)].&amp;[Jan]" c="Jan"/>
              <i n="[Calender_Table].[Column1 (Month)].&amp;[Feb]" c="Feb"/>
              <i n="[Calender_Table].[Column1 (Month)].&amp;[Mar]" c="Mar"/>
              <i n="[Calender_Table].[Column1 (Month)].&amp;[Apr]" c="Apr"/>
              <i n="[Calender_Table].[Column1 (Month)].&amp;[May]" c="May"/>
              <i n="[Calender_Table].[Column1 (Month)].&amp;[Jun]" c="Jun"/>
              <i n="[Calender_Table].[Column1 (Month)].&amp;[Jul]" c="Jul"/>
              <i n="[Calender_Table].[Column1 (Month)].&amp;[Aug]" c="Aug"/>
              <i n="[Calender_Table].[Column1 (Month)].&amp;[Sep]" c="Sep"/>
              <i n="[Calender_Table].[Column1 (Month)].&amp;[Oct]" c="Oct"/>
              <i n="[Calender_Table].[Column1 (Month)].&amp;[Nov]" c="Nov"/>
              <i n="[Calender_Table].[Column1 (Month)].&amp;[Dec]" c="Dec"/>
            </range>
          </ranges>
        </level>
      </levels>
      <selections count="1">
        <selection n="[Calender_Table].[Column1 (Month)].&amp;[Feb]"/>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Year) 1" xr10:uid="{2AC3FB40-102D-4B0D-AA70-79117C03470F}" cache="Slicer_Column1__Year" columnCount="2" showCaption="0" level="1" style="SlicerStyleDark2" rowHeight="180000"/>
  <slicer name="Column1 (Month) 1" xr10:uid="{E3455B1D-4266-4BBB-A7EA-FAEE15D817E8}" cache="Slicer_Column1__Month" caption="Column1 (Month)" showCaption="0" level="1"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Year)" xr10:uid="{974334F7-C15C-4B3A-958C-C307C0D4BB3A}" cache="Slicer_Column1__Year" caption="Column1 (Year)" level="1" rowHeight="234950"/>
  <slicer name="Column1 (Month)" xr10:uid="{E702012A-0358-4615-A23A-EA51801CAC96}" cache="Slicer_Column1__Month" caption="Column1 (Month)"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0B69A-986D-4B1B-82F4-E106D814BF71}">
  <dimension ref="A1:N17"/>
  <sheetViews>
    <sheetView showGridLines="0" tabSelected="1" zoomScale="128" zoomScaleNormal="160" workbookViewId="0">
      <selection activeCell="H19" sqref="H19"/>
    </sheetView>
  </sheetViews>
  <sheetFormatPr defaultRowHeight="14.4" x14ac:dyDescent="0.3"/>
  <cols>
    <col min="4" max="4" width="9.44140625" customWidth="1"/>
  </cols>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00DF1-97F4-4FAE-B0E6-ACD3B3F95C02}">
  <dimension ref="A1:P124"/>
  <sheetViews>
    <sheetView zoomScale="101" zoomScaleNormal="101" workbookViewId="0">
      <selection activeCell="I62" sqref="I62"/>
    </sheetView>
  </sheetViews>
  <sheetFormatPr defaultRowHeight="14.4" x14ac:dyDescent="0.3"/>
  <cols>
    <col min="1" max="1" width="17.44140625" customWidth="1"/>
    <col min="2" max="2" width="27.33203125" bestFit="1" customWidth="1"/>
    <col min="3" max="3" width="10.109375" customWidth="1"/>
    <col min="4" max="4" width="19" customWidth="1"/>
    <col min="5" max="5" width="24.109375" bestFit="1" customWidth="1"/>
    <col min="9" max="9" width="12.6640625" bestFit="1" customWidth="1"/>
    <col min="10" max="10" width="25.21875" bestFit="1" customWidth="1"/>
    <col min="15" max="15" width="12.6640625" bestFit="1" customWidth="1"/>
    <col min="16" max="16" width="32.77734375" bestFit="1" customWidth="1"/>
  </cols>
  <sheetData>
    <row r="1" spans="1:16" x14ac:dyDescent="0.3">
      <c r="A1" t="s">
        <v>2</v>
      </c>
    </row>
    <row r="2" spans="1:16" x14ac:dyDescent="0.3">
      <c r="A2" s="3">
        <v>431</v>
      </c>
      <c r="C2">
        <f>GETPIVOTDATA("[Measures].[Distinct Count of Patient Id]",$A$1)</f>
        <v>431</v>
      </c>
    </row>
    <row r="4" spans="1:16" x14ac:dyDescent="0.3">
      <c r="D4" t="s">
        <v>5</v>
      </c>
      <c r="I4" s="1" t="s">
        <v>0</v>
      </c>
      <c r="J4" t="s">
        <v>3</v>
      </c>
      <c r="O4" s="1" t="s">
        <v>0</v>
      </c>
      <c r="P4" t="s">
        <v>4</v>
      </c>
    </row>
    <row r="5" spans="1:16" x14ac:dyDescent="0.3">
      <c r="D5" s="1" t="s">
        <v>0</v>
      </c>
      <c r="E5" t="s">
        <v>2</v>
      </c>
      <c r="I5" s="2" t="s">
        <v>33</v>
      </c>
      <c r="J5" s="4">
        <v>35.692307692307693</v>
      </c>
      <c r="O5" s="2" t="s">
        <v>33</v>
      </c>
      <c r="P5" s="4">
        <v>4.166666666666667</v>
      </c>
    </row>
    <row r="6" spans="1:16" x14ac:dyDescent="0.3">
      <c r="A6" t="s">
        <v>3</v>
      </c>
      <c r="D6" s="2" t="s">
        <v>33</v>
      </c>
      <c r="E6" s="3">
        <v>13</v>
      </c>
      <c r="I6" s="2" t="s">
        <v>34</v>
      </c>
      <c r="J6" s="4">
        <v>45.4</v>
      </c>
      <c r="O6" s="2" t="s">
        <v>34</v>
      </c>
      <c r="P6" s="4">
        <v>5.75</v>
      </c>
    </row>
    <row r="7" spans="1:16" x14ac:dyDescent="0.3">
      <c r="A7" s="4">
        <v>36.670533642691417</v>
      </c>
      <c r="C7" s="4">
        <f>GETPIVOTDATA("[Measures].[Average of Patient Waittime]",$A$6)</f>
        <v>36.670533642691417</v>
      </c>
      <c r="D7" s="2" t="s">
        <v>34</v>
      </c>
      <c r="E7" s="3">
        <v>10</v>
      </c>
      <c r="I7" s="2" t="s">
        <v>35</v>
      </c>
      <c r="J7" s="4">
        <v>29.375</v>
      </c>
      <c r="O7" s="2" t="s">
        <v>35</v>
      </c>
      <c r="P7" s="4">
        <v>4.75</v>
      </c>
    </row>
    <row r="8" spans="1:16" x14ac:dyDescent="0.3">
      <c r="D8" s="2" t="s">
        <v>35</v>
      </c>
      <c r="E8" s="3">
        <v>8</v>
      </c>
      <c r="I8" s="2" t="s">
        <v>36</v>
      </c>
      <c r="J8" s="4">
        <v>34.583333333333336</v>
      </c>
      <c r="O8" s="2" t="s">
        <v>36</v>
      </c>
      <c r="P8" s="4">
        <v>7</v>
      </c>
    </row>
    <row r="9" spans="1:16" x14ac:dyDescent="0.3">
      <c r="D9" s="2" t="s">
        <v>36</v>
      </c>
      <c r="E9" s="3">
        <v>12</v>
      </c>
      <c r="I9" s="2" t="s">
        <v>37</v>
      </c>
      <c r="J9" s="4">
        <v>38.684210526315788</v>
      </c>
      <c r="O9" s="2" t="s">
        <v>37</v>
      </c>
      <c r="P9" s="4">
        <v>3.1428571428571428</v>
      </c>
    </row>
    <row r="10" spans="1:16" x14ac:dyDescent="0.3">
      <c r="A10" t="s">
        <v>4</v>
      </c>
      <c r="D10" s="2" t="s">
        <v>37</v>
      </c>
      <c r="E10" s="3">
        <v>19</v>
      </c>
      <c r="I10" s="2" t="s">
        <v>38</v>
      </c>
      <c r="J10" s="4">
        <v>34.777777777777779</v>
      </c>
      <c r="O10" s="2" t="s">
        <v>38</v>
      </c>
      <c r="P10" s="4">
        <v>8</v>
      </c>
    </row>
    <row r="11" spans="1:16" x14ac:dyDescent="0.3">
      <c r="A11" s="4">
        <v>4.7154471544715451</v>
      </c>
      <c r="C11" s="4">
        <f>GETPIVOTDATA("[Measures].[Average of Patient Satisfaction Score]",$A$10)</f>
        <v>4.7154471544715451</v>
      </c>
      <c r="D11" s="2" t="s">
        <v>38</v>
      </c>
      <c r="E11" s="3">
        <v>9</v>
      </c>
      <c r="I11" s="2" t="s">
        <v>39</v>
      </c>
      <c r="J11" s="4">
        <v>37.307692307692307</v>
      </c>
      <c r="O11" s="2" t="s">
        <v>39</v>
      </c>
      <c r="P11" s="4">
        <v>5.25</v>
      </c>
    </row>
    <row r="12" spans="1:16" x14ac:dyDescent="0.3">
      <c r="D12" s="2" t="s">
        <v>39</v>
      </c>
      <c r="E12" s="3">
        <v>13</v>
      </c>
      <c r="I12" s="2" t="s">
        <v>40</v>
      </c>
      <c r="J12" s="4">
        <v>35.631578947368418</v>
      </c>
      <c r="O12" s="2" t="s">
        <v>40</v>
      </c>
      <c r="P12" s="4">
        <v>4.5714285714285712</v>
      </c>
    </row>
    <row r="13" spans="1:16" x14ac:dyDescent="0.3">
      <c r="D13" s="2" t="s">
        <v>40</v>
      </c>
      <c r="E13" s="3">
        <v>19</v>
      </c>
      <c r="I13" s="2" t="s">
        <v>41</v>
      </c>
      <c r="J13" s="4">
        <v>36.6</v>
      </c>
      <c r="O13" s="2" t="s">
        <v>41</v>
      </c>
      <c r="P13" s="4">
        <v>2.75</v>
      </c>
    </row>
    <row r="14" spans="1:16" x14ac:dyDescent="0.3">
      <c r="D14" s="2" t="s">
        <v>41</v>
      </c>
      <c r="E14" s="3">
        <v>10</v>
      </c>
      <c r="I14" s="2" t="s">
        <v>42</v>
      </c>
      <c r="J14" s="4">
        <v>39.700000000000003</v>
      </c>
      <c r="O14" s="2" t="s">
        <v>42</v>
      </c>
      <c r="P14" s="4">
        <v>4.5</v>
      </c>
    </row>
    <row r="15" spans="1:16" x14ac:dyDescent="0.3">
      <c r="D15" s="2" t="s">
        <v>42</v>
      </c>
      <c r="E15" s="3">
        <v>20</v>
      </c>
      <c r="I15" s="2" t="s">
        <v>43</v>
      </c>
      <c r="J15" s="4">
        <v>37.4</v>
      </c>
      <c r="O15" s="2" t="s">
        <v>43</v>
      </c>
      <c r="P15" s="4">
        <v>5.5</v>
      </c>
    </row>
    <row r="16" spans="1:16" x14ac:dyDescent="0.3">
      <c r="D16" s="2" t="s">
        <v>43</v>
      </c>
      <c r="E16" s="3">
        <v>15</v>
      </c>
      <c r="I16" s="2" t="s">
        <v>44</v>
      </c>
      <c r="J16" s="4">
        <v>27.76923076923077</v>
      </c>
      <c r="O16" s="2" t="s">
        <v>44</v>
      </c>
      <c r="P16" s="4">
        <v>5.6</v>
      </c>
    </row>
    <row r="17" spans="4:16" x14ac:dyDescent="0.3">
      <c r="D17" s="2" t="s">
        <v>44</v>
      </c>
      <c r="E17" s="3">
        <v>13</v>
      </c>
      <c r="I17" s="2" t="s">
        <v>45</v>
      </c>
      <c r="J17" s="4">
        <v>38.777777777777779</v>
      </c>
      <c r="O17" s="2" t="s">
        <v>45</v>
      </c>
      <c r="P17" s="4">
        <v>5.75</v>
      </c>
    </row>
    <row r="18" spans="4:16" x14ac:dyDescent="0.3">
      <c r="D18" s="2" t="s">
        <v>45</v>
      </c>
      <c r="E18" s="3">
        <v>9</v>
      </c>
      <c r="I18" s="2" t="s">
        <v>46</v>
      </c>
      <c r="J18" s="4">
        <v>31</v>
      </c>
      <c r="O18" s="2" t="s">
        <v>46</v>
      </c>
      <c r="P18" s="4">
        <v>3.4444444444444446</v>
      </c>
    </row>
    <row r="19" spans="4:16" x14ac:dyDescent="0.3">
      <c r="D19" s="2" t="s">
        <v>46</v>
      </c>
      <c r="E19" s="3">
        <v>19</v>
      </c>
      <c r="I19" s="2" t="s">
        <v>47</v>
      </c>
      <c r="J19" s="4">
        <v>35.928571428571431</v>
      </c>
      <c r="O19" s="2" t="s">
        <v>47</v>
      </c>
      <c r="P19" s="4">
        <v>1.5</v>
      </c>
    </row>
    <row r="20" spans="4:16" x14ac:dyDescent="0.3">
      <c r="D20" s="2" t="s">
        <v>47</v>
      </c>
      <c r="E20" s="3">
        <v>14</v>
      </c>
      <c r="I20" s="2" t="s">
        <v>48</v>
      </c>
      <c r="J20" s="4">
        <v>37.882352941176471</v>
      </c>
      <c r="O20" s="2" t="s">
        <v>48</v>
      </c>
      <c r="P20" s="4">
        <v>3.6666666666666665</v>
      </c>
    </row>
    <row r="21" spans="4:16" x14ac:dyDescent="0.3">
      <c r="D21" s="2" t="s">
        <v>48</v>
      </c>
      <c r="E21" s="3">
        <v>17</v>
      </c>
      <c r="I21" s="2" t="s">
        <v>49</v>
      </c>
      <c r="J21" s="4">
        <v>40.588235294117645</v>
      </c>
      <c r="O21" s="2" t="s">
        <v>49</v>
      </c>
      <c r="P21" s="4">
        <v>4.4285714285714288</v>
      </c>
    </row>
    <row r="22" spans="4:16" x14ac:dyDescent="0.3">
      <c r="D22" s="2" t="s">
        <v>49</v>
      </c>
      <c r="E22" s="3">
        <v>17</v>
      </c>
      <c r="I22" s="2" t="s">
        <v>50</v>
      </c>
      <c r="J22" s="4">
        <v>34.533333333333331</v>
      </c>
      <c r="O22" s="2" t="s">
        <v>50</v>
      </c>
      <c r="P22" s="4">
        <v>6</v>
      </c>
    </row>
    <row r="23" spans="4:16" x14ac:dyDescent="0.3">
      <c r="D23" s="2" t="s">
        <v>50</v>
      </c>
      <c r="E23" s="3">
        <v>15</v>
      </c>
      <c r="I23" s="2" t="s">
        <v>51</v>
      </c>
      <c r="J23" s="4">
        <v>40.333333333333336</v>
      </c>
      <c r="O23" s="2" t="s">
        <v>51</v>
      </c>
      <c r="P23" s="4">
        <v>2.6666666666666665</v>
      </c>
    </row>
    <row r="24" spans="4:16" x14ac:dyDescent="0.3">
      <c r="D24" s="2" t="s">
        <v>51</v>
      </c>
      <c r="E24" s="3">
        <v>9</v>
      </c>
      <c r="I24" s="2" t="s">
        <v>52</v>
      </c>
      <c r="J24" s="4">
        <v>35.285714285714285</v>
      </c>
      <c r="O24" s="2" t="s">
        <v>52</v>
      </c>
      <c r="P24" s="4">
        <v>7.5</v>
      </c>
    </row>
    <row r="25" spans="4:16" x14ac:dyDescent="0.3">
      <c r="D25" s="2" t="s">
        <v>52</v>
      </c>
      <c r="E25" s="3">
        <v>14</v>
      </c>
      <c r="I25" s="2" t="s">
        <v>53</v>
      </c>
      <c r="J25" s="4">
        <v>35.5</v>
      </c>
      <c r="O25" s="2" t="s">
        <v>53</v>
      </c>
      <c r="P25" s="4">
        <v>4.5</v>
      </c>
    </row>
    <row r="26" spans="4:16" x14ac:dyDescent="0.3">
      <c r="D26" s="2" t="s">
        <v>53</v>
      </c>
      <c r="E26" s="3">
        <v>22</v>
      </c>
      <c r="I26" s="2" t="s">
        <v>54</v>
      </c>
      <c r="J26" s="4">
        <v>38.5625</v>
      </c>
      <c r="O26" s="2" t="s">
        <v>54</v>
      </c>
      <c r="P26" s="4">
        <v>8</v>
      </c>
    </row>
    <row r="27" spans="4:16" x14ac:dyDescent="0.3">
      <c r="D27" s="2" t="s">
        <v>54</v>
      </c>
      <c r="E27" s="3">
        <v>16</v>
      </c>
      <c r="I27" s="2" t="s">
        <v>55</v>
      </c>
      <c r="J27" s="4">
        <v>42.727272727272727</v>
      </c>
      <c r="O27" s="2" t="s">
        <v>55</v>
      </c>
      <c r="P27" s="4">
        <v>4.3636363636363633</v>
      </c>
    </row>
    <row r="28" spans="4:16" x14ac:dyDescent="0.3">
      <c r="D28" s="2" t="s">
        <v>55</v>
      </c>
      <c r="E28" s="3">
        <v>22</v>
      </c>
      <c r="I28" s="2" t="s">
        <v>56</v>
      </c>
      <c r="J28" s="4">
        <v>37.416666666666664</v>
      </c>
      <c r="O28" s="2" t="s">
        <v>56</v>
      </c>
      <c r="P28" s="4">
        <v>0</v>
      </c>
    </row>
    <row r="29" spans="4:16" x14ac:dyDescent="0.3">
      <c r="D29" s="2" t="s">
        <v>56</v>
      </c>
      <c r="E29" s="3">
        <v>12</v>
      </c>
      <c r="I29" s="2" t="s">
        <v>57</v>
      </c>
      <c r="J29" s="4">
        <v>32.450000000000003</v>
      </c>
      <c r="O29" s="2" t="s">
        <v>57</v>
      </c>
      <c r="P29" s="4">
        <v>10</v>
      </c>
    </row>
    <row r="30" spans="4:16" x14ac:dyDescent="0.3">
      <c r="D30" s="2" t="s">
        <v>57</v>
      </c>
      <c r="E30" s="3">
        <v>20</v>
      </c>
      <c r="I30" s="2" t="s">
        <v>58</v>
      </c>
      <c r="J30" s="4">
        <v>40.055555555555557</v>
      </c>
      <c r="O30" s="2" t="s">
        <v>59</v>
      </c>
      <c r="P30" s="4">
        <v>6.75</v>
      </c>
    </row>
    <row r="31" spans="4:16" x14ac:dyDescent="0.3">
      <c r="D31" s="2" t="s">
        <v>58</v>
      </c>
      <c r="E31" s="3">
        <v>18</v>
      </c>
      <c r="I31" s="2" t="s">
        <v>59</v>
      </c>
      <c r="J31" s="4">
        <v>31.666666666666668</v>
      </c>
      <c r="O31" s="2" t="s">
        <v>60</v>
      </c>
      <c r="P31" s="4">
        <v>7</v>
      </c>
    </row>
    <row r="32" spans="4:16" x14ac:dyDescent="0.3">
      <c r="D32" s="2" t="s">
        <v>59</v>
      </c>
      <c r="E32" s="3">
        <v>18</v>
      </c>
      <c r="I32" s="2" t="s">
        <v>60</v>
      </c>
      <c r="J32" s="4">
        <v>39.769230769230766</v>
      </c>
      <c r="O32" s="2" t="s">
        <v>61</v>
      </c>
      <c r="P32" s="4">
        <v>3.3333333333333335</v>
      </c>
    </row>
    <row r="33" spans="4:16" x14ac:dyDescent="0.3">
      <c r="D33" s="2" t="s">
        <v>60</v>
      </c>
      <c r="E33" s="3">
        <v>13</v>
      </c>
      <c r="I33" s="2" t="s">
        <v>61</v>
      </c>
      <c r="J33" s="4">
        <v>36.733333333333334</v>
      </c>
      <c r="O33" s="2" t="s">
        <v>1</v>
      </c>
      <c r="P33" s="4">
        <v>4.7154471544715451</v>
      </c>
    </row>
    <row r="34" spans="4:16" x14ac:dyDescent="0.3">
      <c r="D34" s="2" t="s">
        <v>61</v>
      </c>
      <c r="E34" s="3">
        <v>15</v>
      </c>
      <c r="I34" s="2" t="s">
        <v>1</v>
      </c>
      <c r="J34" s="4">
        <v>36.670533642691417</v>
      </c>
    </row>
    <row r="35" spans="4:16" x14ac:dyDescent="0.3">
      <c r="D35" s="2" t="s">
        <v>1</v>
      </c>
      <c r="E35" s="3">
        <v>431</v>
      </c>
    </row>
    <row r="57" spans="1:4" x14ac:dyDescent="0.3">
      <c r="A57" s="1" t="s">
        <v>0</v>
      </c>
      <c r="B57" t="s">
        <v>10</v>
      </c>
      <c r="C57" t="s">
        <v>11</v>
      </c>
    </row>
    <row r="58" spans="1:4" x14ac:dyDescent="0.3">
      <c r="A58" s="2" t="s">
        <v>7</v>
      </c>
      <c r="B58" s="4">
        <v>207</v>
      </c>
      <c r="C58" s="8">
        <v>0.48027842227378192</v>
      </c>
    </row>
    <row r="59" spans="1:4" x14ac:dyDescent="0.3">
      <c r="A59" s="2" t="s">
        <v>6</v>
      </c>
      <c r="B59" s="4">
        <v>224</v>
      </c>
      <c r="C59" s="8">
        <v>0.51972157772621808</v>
      </c>
    </row>
    <row r="60" spans="1:4" x14ac:dyDescent="0.3">
      <c r="A60" s="2" t="s">
        <v>1</v>
      </c>
      <c r="B60" s="4">
        <v>431</v>
      </c>
      <c r="C60" s="7">
        <v>1</v>
      </c>
    </row>
    <row r="63" spans="1:4" x14ac:dyDescent="0.3">
      <c r="A63" s="11" t="s">
        <v>30</v>
      </c>
      <c r="B63" s="11" t="s">
        <v>31</v>
      </c>
      <c r="C63" s="11" t="s">
        <v>32</v>
      </c>
      <c r="D63" s="14"/>
    </row>
    <row r="64" spans="1:4" x14ac:dyDescent="0.3">
      <c r="A64" s="9" t="str">
        <f>A59</f>
        <v>Admitted</v>
      </c>
      <c r="B64" s="9">
        <f>B59</f>
        <v>224</v>
      </c>
      <c r="C64" s="10">
        <f>C59</f>
        <v>0.51972157772621808</v>
      </c>
      <c r="D64" s="13"/>
    </row>
    <row r="65" spans="1:4" x14ac:dyDescent="0.3">
      <c r="A65" s="9" t="str">
        <f>A58</f>
        <v>Not Admitted</v>
      </c>
      <c r="B65" s="9">
        <f>B58</f>
        <v>207</v>
      </c>
      <c r="C65" s="10">
        <f>C58</f>
        <v>0.48027842227378192</v>
      </c>
      <c r="D65" s="13"/>
    </row>
    <row r="66" spans="1:4" ht="6" customHeight="1" x14ac:dyDescent="0.3">
      <c r="A66" s="9"/>
      <c r="B66" s="9"/>
      <c r="C66" s="9"/>
      <c r="D66" s="13"/>
    </row>
    <row r="70" spans="1:4" x14ac:dyDescent="0.3">
      <c r="A70" s="1" t="s">
        <v>0</v>
      </c>
      <c r="B70" t="s">
        <v>62</v>
      </c>
    </row>
    <row r="71" spans="1:4" x14ac:dyDescent="0.3">
      <c r="A71" s="2" t="s">
        <v>22</v>
      </c>
      <c r="B71" s="12">
        <v>42</v>
      </c>
    </row>
    <row r="72" spans="1:4" x14ac:dyDescent="0.3">
      <c r="A72" s="2" t="s">
        <v>14</v>
      </c>
      <c r="B72" s="12">
        <v>46</v>
      </c>
    </row>
    <row r="73" spans="1:4" x14ac:dyDescent="0.3">
      <c r="A73" s="2" t="s">
        <v>17</v>
      </c>
      <c r="B73" s="12">
        <v>54</v>
      </c>
    </row>
    <row r="74" spans="1:4" x14ac:dyDescent="0.3">
      <c r="A74" s="2" t="s">
        <v>18</v>
      </c>
      <c r="B74" s="12">
        <v>68</v>
      </c>
    </row>
    <row r="75" spans="1:4" x14ac:dyDescent="0.3">
      <c r="A75" s="2" t="s">
        <v>19</v>
      </c>
      <c r="B75" s="12">
        <v>62</v>
      </c>
    </row>
    <row r="76" spans="1:4" x14ac:dyDescent="0.3">
      <c r="A76" s="2" t="s">
        <v>15</v>
      </c>
      <c r="B76" s="12">
        <v>52</v>
      </c>
    </row>
    <row r="77" spans="1:4" x14ac:dyDescent="0.3">
      <c r="A77" s="2" t="s">
        <v>20</v>
      </c>
      <c r="B77" s="12">
        <v>54</v>
      </c>
    </row>
    <row r="78" spans="1:4" x14ac:dyDescent="0.3">
      <c r="A78" s="2" t="s">
        <v>16</v>
      </c>
      <c r="B78" s="12">
        <v>53</v>
      </c>
    </row>
    <row r="79" spans="1:4" x14ac:dyDescent="0.3">
      <c r="A79" s="2" t="s">
        <v>1</v>
      </c>
      <c r="B79" s="12">
        <v>431</v>
      </c>
    </row>
    <row r="84" spans="1:2" x14ac:dyDescent="0.3">
      <c r="A84" s="1" t="s">
        <v>0</v>
      </c>
      <c r="B84" t="s">
        <v>10</v>
      </c>
    </row>
    <row r="85" spans="1:2" x14ac:dyDescent="0.3">
      <c r="A85" s="2" t="s">
        <v>8</v>
      </c>
      <c r="B85" s="12">
        <v>283</v>
      </c>
    </row>
    <row r="86" spans="1:2" x14ac:dyDescent="0.3">
      <c r="A86" s="2" t="s">
        <v>9</v>
      </c>
      <c r="B86" s="12">
        <v>148</v>
      </c>
    </row>
    <row r="87" spans="1:2" x14ac:dyDescent="0.3">
      <c r="A87" s="2" t="s">
        <v>1</v>
      </c>
      <c r="B87" s="12">
        <v>431</v>
      </c>
    </row>
    <row r="96" spans="1:2" x14ac:dyDescent="0.3">
      <c r="A96" s="1" t="s">
        <v>0</v>
      </c>
      <c r="B96" t="s">
        <v>63</v>
      </c>
    </row>
    <row r="97" spans="1:2" x14ac:dyDescent="0.3">
      <c r="A97" s="2" t="s">
        <v>12</v>
      </c>
      <c r="B97" s="12">
        <v>194</v>
      </c>
    </row>
    <row r="98" spans="1:2" x14ac:dyDescent="0.3">
      <c r="A98" s="2" t="s">
        <v>21</v>
      </c>
      <c r="B98" s="12">
        <v>237</v>
      </c>
    </row>
    <row r="99" spans="1:2" x14ac:dyDescent="0.3">
      <c r="A99" s="2" t="s">
        <v>1</v>
      </c>
      <c r="B99" s="12">
        <v>431</v>
      </c>
    </row>
    <row r="108" spans="1:2" x14ac:dyDescent="0.3">
      <c r="A108" s="1" t="s">
        <v>0</v>
      </c>
      <c r="B108" t="s">
        <v>64</v>
      </c>
    </row>
    <row r="109" spans="1:2" x14ac:dyDescent="0.3">
      <c r="A109" s="2" t="s">
        <v>27</v>
      </c>
      <c r="B109" s="12">
        <v>6</v>
      </c>
    </row>
    <row r="110" spans="1:2" x14ac:dyDescent="0.3">
      <c r="A110" s="2" t="s">
        <v>28</v>
      </c>
      <c r="B110" s="12">
        <v>6</v>
      </c>
    </row>
    <row r="111" spans="1:2" x14ac:dyDescent="0.3">
      <c r="A111" s="2" t="s">
        <v>29</v>
      </c>
      <c r="B111" s="12">
        <v>6</v>
      </c>
    </row>
    <row r="112" spans="1:2" x14ac:dyDescent="0.3">
      <c r="A112" s="2" t="s">
        <v>26</v>
      </c>
      <c r="B112" s="12">
        <v>12</v>
      </c>
    </row>
    <row r="113" spans="1:2" x14ac:dyDescent="0.3">
      <c r="A113" s="2" t="s">
        <v>25</v>
      </c>
      <c r="B113" s="12">
        <v>14</v>
      </c>
    </row>
    <row r="114" spans="1:2" x14ac:dyDescent="0.3">
      <c r="A114" s="2" t="s">
        <v>24</v>
      </c>
      <c r="B114" s="12">
        <v>46</v>
      </c>
    </row>
    <row r="115" spans="1:2" x14ac:dyDescent="0.3">
      <c r="A115" s="2" t="s">
        <v>23</v>
      </c>
      <c r="B115" s="12">
        <v>89</v>
      </c>
    </row>
    <row r="116" spans="1:2" x14ac:dyDescent="0.3">
      <c r="A116" s="2" t="s">
        <v>13</v>
      </c>
      <c r="B116" s="12">
        <v>252</v>
      </c>
    </row>
    <row r="117" spans="1:2" x14ac:dyDescent="0.3">
      <c r="A117" s="2" t="s">
        <v>1</v>
      </c>
      <c r="B117" s="12">
        <v>431</v>
      </c>
    </row>
    <row r="122" spans="1:2" x14ac:dyDescent="0.3">
      <c r="A122" s="1" t="s">
        <v>0</v>
      </c>
    </row>
    <row r="123" spans="1:2" x14ac:dyDescent="0.3">
      <c r="A123" s="2" t="s">
        <v>65</v>
      </c>
    </row>
    <row r="124" spans="1:2" x14ac:dyDescent="0.3">
      <c r="A124" s="2" t="s">
        <v>1</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B0685-49BC-47FD-A37B-DC515C3863F0}">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834E-915E-48F5-AC05-E8B529647333}">
  <dimension ref="A2:AB41"/>
  <sheetViews>
    <sheetView zoomScale="70" workbookViewId="0"/>
  </sheetViews>
  <sheetFormatPr defaultRowHeight="14.4" x14ac:dyDescent="0.3"/>
  <sheetData>
    <row r="2" spans="1:28" x14ac:dyDescent="0.3">
      <c r="A2" s="6"/>
      <c r="B2" s="6"/>
      <c r="C2" s="6"/>
      <c r="D2" s="6"/>
      <c r="E2" s="6"/>
      <c r="F2" s="6"/>
      <c r="G2" s="6"/>
      <c r="H2" s="6"/>
      <c r="I2" s="6"/>
      <c r="J2" s="6"/>
      <c r="K2" s="6"/>
      <c r="L2" s="6"/>
      <c r="M2" s="6"/>
      <c r="N2" s="6"/>
      <c r="O2" s="6"/>
      <c r="P2" s="6"/>
      <c r="Q2" s="6"/>
      <c r="R2" s="6"/>
      <c r="S2" s="6"/>
      <c r="T2" s="6"/>
      <c r="U2" s="6"/>
      <c r="V2" s="6"/>
      <c r="W2" s="6"/>
      <c r="X2" s="6"/>
      <c r="Y2" s="6"/>
      <c r="Z2" s="6"/>
      <c r="AA2" s="6"/>
      <c r="AB2" s="6"/>
    </row>
    <row r="3" spans="1:28" x14ac:dyDescent="0.3">
      <c r="A3" s="6"/>
      <c r="B3" s="6"/>
      <c r="C3" s="6"/>
      <c r="D3" s="6"/>
      <c r="E3" s="6"/>
      <c r="F3" s="6"/>
      <c r="G3" s="6"/>
      <c r="H3" s="6"/>
      <c r="I3" s="6"/>
      <c r="J3" s="6"/>
      <c r="K3" s="6"/>
      <c r="L3" s="6"/>
      <c r="M3" s="6"/>
      <c r="N3" s="6"/>
      <c r="O3" s="6"/>
      <c r="P3" s="6"/>
      <c r="Q3" s="6"/>
      <c r="R3" s="6"/>
      <c r="S3" s="6"/>
      <c r="T3" s="6"/>
      <c r="U3" s="6"/>
      <c r="V3" s="6"/>
      <c r="W3" s="6"/>
      <c r="X3" s="6"/>
      <c r="Y3" s="6"/>
      <c r="Z3" s="6"/>
      <c r="AA3" s="6"/>
      <c r="AB3" s="6"/>
    </row>
    <row r="4" spans="1:28" x14ac:dyDescent="0.3">
      <c r="A4" s="6"/>
      <c r="B4" s="6"/>
      <c r="C4" s="6"/>
      <c r="D4" s="6"/>
      <c r="E4" s="6"/>
      <c r="F4" s="6"/>
      <c r="G4" s="6"/>
      <c r="H4" s="6"/>
      <c r="I4" s="6"/>
      <c r="J4" s="6"/>
      <c r="K4" s="6"/>
      <c r="L4" s="6"/>
      <c r="M4" s="6"/>
      <c r="N4" s="6"/>
      <c r="O4" s="6"/>
      <c r="P4" s="6"/>
      <c r="Q4" s="6"/>
      <c r="R4" s="6"/>
      <c r="S4" s="6"/>
      <c r="T4" s="6"/>
      <c r="U4" s="6"/>
      <c r="V4" s="6"/>
      <c r="W4" s="6"/>
      <c r="X4" s="6"/>
      <c r="Y4" s="6"/>
      <c r="Z4" s="6"/>
      <c r="AA4" s="6"/>
      <c r="AB4" s="6"/>
    </row>
    <row r="5" spans="1:28" x14ac:dyDescent="0.3">
      <c r="A5" s="6"/>
      <c r="B5" s="6"/>
      <c r="C5" s="6"/>
      <c r="D5" s="6"/>
      <c r="E5" s="6"/>
      <c r="F5" s="6"/>
      <c r="G5" s="6"/>
      <c r="H5" s="6"/>
      <c r="I5" s="6"/>
      <c r="J5" s="6"/>
      <c r="K5" s="6"/>
      <c r="L5" s="6"/>
      <c r="M5" s="6"/>
      <c r="N5" s="6"/>
      <c r="O5" s="6"/>
      <c r="P5" s="6"/>
      <c r="Q5" s="6"/>
      <c r="R5" s="6"/>
      <c r="S5" s="6"/>
      <c r="T5" s="6"/>
      <c r="U5" s="6"/>
      <c r="V5" s="6"/>
      <c r="W5" s="6"/>
      <c r="X5" s="6"/>
      <c r="Y5" s="6"/>
      <c r="Z5" s="6"/>
      <c r="AA5" s="6"/>
      <c r="AB5" s="6"/>
    </row>
    <row r="6" spans="1:28" x14ac:dyDescent="0.3">
      <c r="A6" s="6"/>
      <c r="B6" s="6"/>
      <c r="C6" s="6"/>
      <c r="D6" s="6"/>
      <c r="E6" s="6"/>
      <c r="F6" s="6"/>
      <c r="G6" s="6"/>
      <c r="H6" s="6"/>
      <c r="I6" s="6"/>
      <c r="J6" s="6"/>
      <c r="K6" s="6"/>
      <c r="L6" s="6"/>
      <c r="M6" s="6"/>
      <c r="N6" s="6"/>
      <c r="O6" s="6"/>
      <c r="P6" s="6"/>
      <c r="Q6" s="6"/>
      <c r="R6" s="6"/>
      <c r="S6" s="6"/>
      <c r="T6" s="6"/>
      <c r="U6" s="6"/>
      <c r="V6" s="6"/>
      <c r="W6" s="6"/>
      <c r="X6" s="6"/>
      <c r="Y6" s="6"/>
      <c r="Z6" s="6"/>
      <c r="AA6" s="6"/>
      <c r="AB6" s="6"/>
    </row>
    <row r="7" spans="1:28" x14ac:dyDescent="0.3">
      <c r="A7" s="6"/>
      <c r="B7" s="6"/>
      <c r="C7" s="6"/>
      <c r="D7" s="6"/>
      <c r="E7" s="6"/>
      <c r="F7" s="6"/>
      <c r="G7" s="6"/>
      <c r="H7" s="6"/>
      <c r="I7" s="6"/>
      <c r="J7" s="6"/>
      <c r="K7" s="6"/>
      <c r="L7" s="6"/>
      <c r="M7" s="6"/>
      <c r="N7" s="6"/>
      <c r="O7" s="6"/>
      <c r="P7" s="6"/>
      <c r="Q7" s="6"/>
      <c r="R7" s="6"/>
      <c r="S7" s="6"/>
      <c r="T7" s="6"/>
      <c r="U7" s="6"/>
      <c r="V7" s="6"/>
      <c r="W7" s="6"/>
      <c r="X7" s="6"/>
      <c r="Y7" s="6"/>
      <c r="Z7" s="6"/>
      <c r="AA7" s="6"/>
      <c r="AB7" s="6"/>
    </row>
    <row r="8" spans="1:28" x14ac:dyDescent="0.3">
      <c r="A8" s="6"/>
      <c r="B8" s="6"/>
      <c r="C8" s="6"/>
      <c r="D8" s="6"/>
      <c r="E8" s="6"/>
      <c r="F8" s="6"/>
      <c r="G8" s="6"/>
      <c r="H8" s="6"/>
      <c r="I8" s="6"/>
      <c r="J8" s="6"/>
      <c r="K8" s="6"/>
      <c r="L8" s="6"/>
      <c r="M8" s="6"/>
      <c r="N8" s="6"/>
      <c r="O8" s="6"/>
      <c r="P8" s="6"/>
      <c r="Q8" s="6"/>
      <c r="R8" s="6"/>
      <c r="S8" s="6"/>
      <c r="T8" s="6"/>
      <c r="U8" s="6"/>
      <c r="V8" s="6"/>
      <c r="W8" s="6"/>
      <c r="X8" s="6"/>
      <c r="Y8" s="6"/>
      <c r="Z8" s="6"/>
      <c r="AA8" s="6"/>
      <c r="AB8" s="6"/>
    </row>
    <row r="9" spans="1:28" x14ac:dyDescent="0.3">
      <c r="A9" s="6"/>
      <c r="B9" s="6"/>
      <c r="C9" s="6"/>
      <c r="D9" s="6"/>
      <c r="E9" s="6"/>
      <c r="F9" s="6"/>
      <c r="G9" s="6"/>
      <c r="H9" s="6"/>
      <c r="I9" s="6"/>
      <c r="J9" s="6"/>
      <c r="K9" s="6"/>
      <c r="L9" s="6"/>
      <c r="M9" s="6"/>
      <c r="N9" s="6"/>
      <c r="O9" s="6"/>
      <c r="P9" s="6"/>
      <c r="Q9" s="6"/>
      <c r="R9" s="6"/>
      <c r="S9" s="6"/>
      <c r="T9" s="6"/>
      <c r="U9" s="6"/>
      <c r="V9" s="6"/>
      <c r="W9" s="6"/>
      <c r="X9" s="6"/>
      <c r="Y9" s="6"/>
      <c r="Z9" s="6"/>
      <c r="AA9" s="6"/>
      <c r="AB9" s="6"/>
    </row>
    <row r="10" spans="1:28"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row>
    <row r="11" spans="1:28"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row>
    <row r="12" spans="1:28"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row>
    <row r="13" spans="1:28"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row>
    <row r="14" spans="1:28"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row>
    <row r="15" spans="1:28"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row>
    <row r="16" spans="1:28"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row>
    <row r="17" spans="1:28"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row>
    <row r="18" spans="1:28"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spans="1:28"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1:28"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1:28"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spans="1:28"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1:28"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1:28"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1:28"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1:28"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1:28"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1:28"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1:28"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1:28"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1:28"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1:28"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1:28"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1:28"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1:28"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1:28"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spans="1:28"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1:28"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1:28"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1:28"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2841-CDC3-4328-A88C-2202048A025F}">
  <dimension ref="A4:O27"/>
  <sheetViews>
    <sheetView zoomScale="114" workbookViewId="0"/>
  </sheetViews>
  <sheetFormatPr defaultRowHeight="14.4" x14ac:dyDescent="0.3"/>
  <sheetData>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row r="22" spans="1:15" x14ac:dyDescent="0.3">
      <c r="A22" s="6"/>
      <c r="B22" s="6"/>
      <c r="C22" s="6"/>
      <c r="D22" s="6"/>
      <c r="E22" s="6"/>
      <c r="F22" s="6"/>
      <c r="G22" s="6"/>
      <c r="H22" s="6"/>
      <c r="I22" s="6"/>
      <c r="J22" s="6"/>
      <c r="K22" s="6"/>
      <c r="L22" s="6"/>
      <c r="M22" s="6"/>
      <c r="N22" s="6"/>
      <c r="O22" s="6"/>
    </row>
    <row r="23" spans="1:15" x14ac:dyDescent="0.3">
      <c r="A23" s="6"/>
      <c r="B23" s="6"/>
      <c r="C23" s="6"/>
      <c r="D23" s="6"/>
      <c r="E23" s="6"/>
      <c r="F23" s="6"/>
      <c r="G23" s="6"/>
      <c r="H23" s="6"/>
      <c r="I23" s="6"/>
      <c r="J23" s="6"/>
      <c r="K23" s="6"/>
      <c r="L23" s="6"/>
      <c r="M23" s="6"/>
      <c r="N23" s="6"/>
      <c r="O23" s="6"/>
    </row>
    <row r="24" spans="1:15" x14ac:dyDescent="0.3">
      <c r="A24" s="6"/>
      <c r="B24" s="6"/>
      <c r="C24" s="6"/>
      <c r="D24" s="6"/>
      <c r="E24" s="6"/>
      <c r="F24" s="6"/>
      <c r="G24" s="6"/>
      <c r="H24" s="6"/>
      <c r="I24" s="6"/>
      <c r="J24" s="6"/>
      <c r="K24" s="6"/>
      <c r="L24" s="6"/>
      <c r="M24" s="6"/>
      <c r="N24" s="6"/>
      <c r="O24" s="6"/>
    </row>
    <row r="25" spans="1:15" x14ac:dyDescent="0.3">
      <c r="A25" s="6"/>
      <c r="B25" s="6"/>
      <c r="C25" s="6"/>
      <c r="D25" s="6"/>
      <c r="E25" s="6"/>
      <c r="F25" s="6"/>
      <c r="G25" s="6"/>
      <c r="H25" s="6"/>
      <c r="I25" s="6"/>
      <c r="J25" s="6"/>
      <c r="K25" s="6"/>
      <c r="L25" s="6"/>
      <c r="M25" s="6"/>
      <c r="N25" s="6"/>
      <c r="O25" s="6"/>
    </row>
    <row r="26" spans="1:15" x14ac:dyDescent="0.3">
      <c r="A26" s="6"/>
      <c r="B26" s="6"/>
      <c r="C26" s="6"/>
      <c r="D26" s="6"/>
      <c r="E26" s="6"/>
      <c r="F26" s="6"/>
      <c r="G26" s="6"/>
      <c r="H26" s="6"/>
      <c r="I26" s="6"/>
      <c r="J26" s="6"/>
      <c r="K26" s="6"/>
      <c r="L26" s="6"/>
      <c r="M26" s="6"/>
      <c r="N26" s="6"/>
      <c r="O26" s="6"/>
    </row>
    <row r="27" spans="1:15" x14ac:dyDescent="0.3">
      <c r="A27" s="6"/>
      <c r="B27" s="6"/>
      <c r="C27" s="6"/>
      <c r="D27" s="6"/>
      <c r="E27" s="6"/>
      <c r="F27" s="6"/>
      <c r="G27" s="6"/>
      <c r="H27" s="6"/>
      <c r="I27" s="6"/>
      <c r="J27" s="6"/>
      <c r="K27" s="6"/>
      <c r="L27" s="6"/>
      <c r="M27" s="6"/>
      <c r="N27" s="6"/>
      <c r="O27"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64EE5AF-958F-4906-B1C6-4A0910A73C72}">
  <ds:schemaRefs/>
</ds:datastoreItem>
</file>

<file path=customXml/itemProps2.xml><?xml version="1.0" encoding="utf-8"?>
<ds:datastoreItem xmlns:ds="http://schemas.openxmlformats.org/officeDocument/2006/customXml" ds:itemID="{93DCB343-E3CF-4422-A22B-03BAB214C0CD}">
  <ds:schemaRefs/>
</ds:datastoreItem>
</file>

<file path=customXml/itemProps3.xml><?xml version="1.0" encoding="utf-8"?>
<ds:datastoreItem xmlns:ds="http://schemas.openxmlformats.org/officeDocument/2006/customXml" ds:itemID="{E8296084-79FE-4707-BD45-A339ACA9AB05}">
  <ds:schemaRefs/>
</ds:datastoreItem>
</file>

<file path=customXml/itemProps4.xml><?xml version="1.0" encoding="utf-8"?>
<ds:datastoreItem xmlns:ds="http://schemas.openxmlformats.org/officeDocument/2006/customXml" ds:itemID="{3FD394D2-A96F-4D85-8C05-626A6F71CCE6}">
  <ds:schemaRefs/>
</ds:datastoreItem>
</file>

<file path=customXml/itemProps5.xml><?xml version="1.0" encoding="utf-8"?>
<ds:datastoreItem xmlns:ds="http://schemas.openxmlformats.org/officeDocument/2006/customXml" ds:itemID="{72B680E7-586D-413D-9320-926CCC45E93E}">
  <ds:schemaRefs/>
</ds:datastoreItem>
</file>

<file path=customXml/itemProps6.xml><?xml version="1.0" encoding="utf-8"?>
<ds:datastoreItem xmlns:ds="http://schemas.openxmlformats.org/officeDocument/2006/customXml" ds:itemID="{A1C3E2DC-CDC4-4DCC-A024-91194860EBB2}">
  <ds:schemaRefs/>
</ds:datastoreItem>
</file>

<file path=customXml/itemProps7.xml><?xml version="1.0" encoding="utf-8"?>
<ds:datastoreItem xmlns:ds="http://schemas.openxmlformats.org/officeDocument/2006/customXml" ds:itemID="{2470C896-5584-431B-9887-76E9858E179C}">
  <ds:schemaRefs/>
</ds:datastoreItem>
</file>

<file path=customXml/itemProps8.xml><?xml version="1.0" encoding="utf-8"?>
<ds:datastoreItem xmlns:ds="http://schemas.openxmlformats.org/officeDocument/2006/customXml" ds:itemID="{38FD025C-50CC-4DC9-BE69-5D4998234A21}">
  <ds:schemaRefs/>
</ds:datastoreItem>
</file>

<file path=customXml/itemProps9.xml><?xml version="1.0" encoding="utf-8"?>
<ds:datastoreItem xmlns:ds="http://schemas.openxmlformats.org/officeDocument/2006/customXml" ds:itemID="{F9572487-BEF5-4AC6-BA0F-DF5FA180B7E5}">
  <ds:schemaRefs/>
</ds:datastoreItem>
</file>

<file path=customXml/itemProps10.xml><?xml version="1.0" encoding="utf-8"?>
<ds:datastoreItem xmlns:ds="http://schemas.openxmlformats.org/officeDocument/2006/customXml" ds:itemID="{E721AE96-AEC7-4957-B243-0B101AD6FCF0}">
  <ds:schemaRefs/>
</ds:datastoreItem>
</file>

<file path=customXml/itemProps11.xml><?xml version="1.0" encoding="utf-8"?>
<ds:datastoreItem xmlns:ds="http://schemas.openxmlformats.org/officeDocument/2006/customXml" ds:itemID="{F3ABA6B3-723D-43C1-8D3B-ADE6104CAFDA}">
  <ds:schemaRefs/>
</ds:datastoreItem>
</file>

<file path=customXml/itemProps12.xml><?xml version="1.0" encoding="utf-8"?>
<ds:datastoreItem xmlns:ds="http://schemas.openxmlformats.org/officeDocument/2006/customXml" ds:itemID="{18BF879F-9911-4BEB-BB59-4C426E34CC00}">
  <ds:schemaRefs/>
</ds:datastoreItem>
</file>

<file path=customXml/itemProps13.xml><?xml version="1.0" encoding="utf-8"?>
<ds:datastoreItem xmlns:ds="http://schemas.openxmlformats.org/officeDocument/2006/customXml" ds:itemID="{4983467A-CB4E-4A76-95FE-CB25CE54381E}">
  <ds:schemaRefs/>
</ds:datastoreItem>
</file>

<file path=customXml/itemProps14.xml><?xml version="1.0" encoding="utf-8"?>
<ds:datastoreItem xmlns:ds="http://schemas.openxmlformats.org/officeDocument/2006/customXml" ds:itemID="{78C8E28E-FFC7-42AA-B45A-104264123E4C}">
  <ds:schemaRefs>
    <ds:schemaRef ds:uri="http://schemas.microsoft.com/DataMashup"/>
  </ds:schemaRefs>
</ds:datastoreItem>
</file>

<file path=customXml/itemProps15.xml><?xml version="1.0" encoding="utf-8"?>
<ds:datastoreItem xmlns:ds="http://schemas.openxmlformats.org/officeDocument/2006/customXml" ds:itemID="{27675876-F4AE-415B-88E8-3DB9EFC4379D}">
  <ds:schemaRefs/>
</ds:datastoreItem>
</file>

<file path=customXml/itemProps16.xml><?xml version="1.0" encoding="utf-8"?>
<ds:datastoreItem xmlns:ds="http://schemas.openxmlformats.org/officeDocument/2006/customXml" ds:itemID="{DB20F2A5-F3E3-43EE-8BC7-B3A6A3E06869}">
  <ds:schemaRefs/>
</ds:datastoreItem>
</file>

<file path=customXml/itemProps17.xml><?xml version="1.0" encoding="utf-8"?>
<ds:datastoreItem xmlns:ds="http://schemas.openxmlformats.org/officeDocument/2006/customXml" ds:itemID="{B1A21AF1-1F9A-4C77-A32D-3E2DD13512EA}">
  <ds:schemaRefs/>
</ds:datastoreItem>
</file>

<file path=customXml/itemProps18.xml><?xml version="1.0" encoding="utf-8"?>
<ds:datastoreItem xmlns:ds="http://schemas.openxmlformats.org/officeDocument/2006/customXml" ds:itemID="{D0FB7808-D523-4C71-AD08-E2A199873B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KPI</vt:lpstr>
      <vt:lpstr>Satisfaction Score Daily trend</vt:lpstr>
      <vt:lpstr>Wait Time (Daily Variation)</vt:lpstr>
      <vt:lpstr>No. of Patient (Daily)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dc:creator>
  <cp:lastModifiedBy>Shubham</cp:lastModifiedBy>
  <dcterms:created xsi:type="dcterms:W3CDTF">2026-01-17T13:41:21Z</dcterms:created>
  <dcterms:modified xsi:type="dcterms:W3CDTF">2026-01-18T07:05:51Z</dcterms:modified>
</cp:coreProperties>
</file>